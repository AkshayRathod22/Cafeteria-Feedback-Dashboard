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24280FF6-1532-432D-80EB-F3439B14ED9E}" xr6:coauthVersionLast="47" xr6:coauthVersionMax="47" xr10:uidLastSave="{00000000-0000-0000-0000-000000000000}"/>
  <bookViews>
    <workbookView xWindow="-108" yWindow="-108" windowWidth="23256" windowHeight="12456" activeTab="2" xr2:uid="{9ABE21CB-CEBE-4938-8FDD-EAC14D5A4BFA}"/>
  </bookViews>
  <sheets>
    <sheet name="Dataset" sheetId="1" r:id="rId1"/>
    <sheet name="KPI" sheetId="2" r:id="rId2"/>
    <sheet name="Dashboard" sheetId="3" r:id="rId3"/>
  </sheets>
  <definedNames>
    <definedName name="Slicer_Date">#N/A</definedName>
    <definedName name="Slicer_Month">#N/A</definedName>
    <definedName name="Slicer_Senti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J3" i="1"/>
  <c r="K3" i="1"/>
  <c r="J4" i="1"/>
  <c r="K4" i="1"/>
  <c r="J5" i="1"/>
  <c r="K5" i="1"/>
  <c r="J6" i="1"/>
  <c r="K6" i="1"/>
  <c r="J7" i="1"/>
  <c r="K7" i="1"/>
  <c r="J8" i="1"/>
  <c r="K8" i="1"/>
  <c r="J9" i="1"/>
  <c r="K9" i="1"/>
  <c r="J10" i="1"/>
  <c r="K10" i="1"/>
  <c r="J11" i="1"/>
  <c r="K11" i="1"/>
  <c r="J12" i="1"/>
  <c r="K12" i="1"/>
  <c r="J13" i="1"/>
  <c r="K13" i="1"/>
  <c r="J14" i="1"/>
  <c r="K14" i="1"/>
  <c r="J15" i="1"/>
  <c r="K15" i="1"/>
  <c r="J16" i="1"/>
  <c r="K16" i="1"/>
  <c r="J17" i="1"/>
  <c r="K17" i="1"/>
  <c r="J18" i="1"/>
  <c r="K18" i="1"/>
  <c r="J19" i="1"/>
  <c r="K19" i="1"/>
  <c r="J20" i="1"/>
  <c r="K20" i="1"/>
  <c r="J21" i="1"/>
  <c r="K21" i="1"/>
  <c r="J22" i="1"/>
  <c r="K22" i="1"/>
  <c r="J23" i="1"/>
  <c r="K23" i="1"/>
  <c r="J24" i="1"/>
  <c r="K24" i="1"/>
  <c r="J25" i="1"/>
  <c r="K25" i="1"/>
  <c r="J26" i="1"/>
  <c r="K26" i="1"/>
  <c r="J27" i="1"/>
  <c r="K27" i="1"/>
  <c r="J28" i="1"/>
  <c r="K28" i="1"/>
  <c r="J29" i="1"/>
  <c r="K29" i="1"/>
  <c r="J30" i="1"/>
  <c r="K30" i="1"/>
  <c r="J31" i="1"/>
  <c r="K31" i="1"/>
  <c r="J32" i="1"/>
  <c r="K32" i="1"/>
  <c r="J33" i="1"/>
  <c r="K33" i="1"/>
  <c r="J34" i="1"/>
  <c r="K34" i="1"/>
  <c r="J35" i="1"/>
  <c r="K35" i="1"/>
  <c r="J36" i="1"/>
  <c r="K36" i="1"/>
  <c r="J37" i="1"/>
  <c r="K37" i="1"/>
  <c r="J38" i="1"/>
  <c r="K38" i="1"/>
  <c r="J39" i="1"/>
  <c r="K39" i="1"/>
  <c r="J40" i="1"/>
  <c r="K40" i="1"/>
  <c r="J41" i="1"/>
  <c r="K41" i="1"/>
  <c r="J42" i="1"/>
  <c r="K42" i="1"/>
  <c r="J43" i="1"/>
  <c r="K43" i="1"/>
  <c r="J44" i="1"/>
  <c r="K44" i="1"/>
  <c r="J45" i="1"/>
  <c r="K45" i="1"/>
  <c r="J46" i="1"/>
  <c r="K46" i="1"/>
  <c r="J47" i="1"/>
  <c r="K47" i="1"/>
  <c r="J48" i="1"/>
  <c r="K48" i="1"/>
  <c r="J49" i="1"/>
  <c r="K49" i="1"/>
  <c r="J50" i="1"/>
  <c r="K50" i="1"/>
  <c r="J51" i="1"/>
  <c r="K51" i="1"/>
  <c r="J52" i="1"/>
  <c r="K52" i="1"/>
  <c r="J53" i="1"/>
  <c r="K53" i="1"/>
  <c r="J54" i="1"/>
  <c r="K54" i="1"/>
  <c r="J55" i="1"/>
  <c r="K55" i="1"/>
  <c r="J56" i="1"/>
  <c r="K56" i="1"/>
  <c r="J57" i="1"/>
  <c r="K57" i="1"/>
  <c r="J58" i="1"/>
  <c r="K58" i="1"/>
  <c r="J59" i="1"/>
  <c r="K59" i="1"/>
  <c r="J60" i="1"/>
  <c r="K60" i="1"/>
  <c r="J61" i="1"/>
  <c r="K61" i="1"/>
  <c r="J62" i="1"/>
  <c r="K62" i="1"/>
  <c r="J63" i="1"/>
  <c r="K63" i="1"/>
  <c r="J64" i="1"/>
  <c r="K64" i="1"/>
  <c r="J65" i="1"/>
  <c r="K65" i="1"/>
  <c r="J66" i="1"/>
  <c r="K66" i="1"/>
  <c r="J67" i="1"/>
  <c r="K67" i="1"/>
  <c r="J68" i="1"/>
  <c r="K68" i="1"/>
  <c r="J69" i="1"/>
  <c r="K69" i="1"/>
  <c r="J70" i="1"/>
  <c r="K70" i="1"/>
  <c r="J71" i="1"/>
  <c r="K71" i="1"/>
  <c r="J72" i="1"/>
  <c r="K72" i="1"/>
  <c r="J73" i="1"/>
  <c r="K73" i="1"/>
  <c r="J74" i="1"/>
  <c r="K74" i="1"/>
  <c r="J75" i="1"/>
  <c r="K75" i="1"/>
  <c r="J76" i="1"/>
  <c r="K76" i="1"/>
  <c r="J77" i="1"/>
  <c r="K77" i="1"/>
  <c r="J78" i="1"/>
  <c r="K78" i="1"/>
  <c r="J79" i="1"/>
  <c r="K79" i="1"/>
  <c r="J80" i="1"/>
  <c r="K80" i="1"/>
  <c r="J81" i="1"/>
  <c r="K81" i="1"/>
  <c r="J82" i="1"/>
  <c r="K82" i="1"/>
  <c r="J83" i="1"/>
  <c r="K83" i="1"/>
  <c r="J84" i="1"/>
  <c r="K84" i="1"/>
  <c r="J85" i="1"/>
  <c r="K85" i="1"/>
  <c r="J86" i="1"/>
  <c r="K86" i="1"/>
  <c r="J87" i="1"/>
  <c r="K87" i="1"/>
  <c r="J88" i="1"/>
  <c r="K88" i="1"/>
  <c r="J89" i="1"/>
  <c r="K89" i="1"/>
  <c r="J90" i="1"/>
  <c r="K90" i="1"/>
  <c r="J91" i="1"/>
  <c r="K91" i="1"/>
  <c r="J92" i="1"/>
  <c r="K92" i="1"/>
  <c r="J93" i="1"/>
  <c r="K93" i="1"/>
  <c r="J94" i="1"/>
  <c r="K94" i="1"/>
  <c r="J95" i="1"/>
  <c r="K95" i="1"/>
  <c r="J96" i="1"/>
  <c r="K96" i="1"/>
  <c r="J97" i="1"/>
  <c r="K97" i="1"/>
  <c r="J98" i="1"/>
  <c r="K98" i="1"/>
  <c r="J99" i="1"/>
  <c r="K99" i="1"/>
  <c r="J100" i="1"/>
  <c r="K100" i="1"/>
  <c r="J101" i="1"/>
  <c r="K101" i="1"/>
  <c r="K2" i="1"/>
  <c r="J2" i="1"/>
  <c r="E16" i="2"/>
  <c r="C6" i="2"/>
  <c r="A5" i="2"/>
  <c r="D16" i="2"/>
  <c r="C16" i="2"/>
</calcChain>
</file>

<file path=xl/sharedStrings.xml><?xml version="1.0" encoding="utf-8"?>
<sst xmlns="http://schemas.openxmlformats.org/spreadsheetml/2006/main" count="378" uniqueCount="175">
  <si>
    <t>Date</t>
  </si>
  <si>
    <t>Student_ID</t>
  </si>
  <si>
    <t>Meal_Type</t>
  </si>
  <si>
    <t>Food_Quality</t>
  </si>
  <si>
    <t>Quantity</t>
  </si>
  <si>
    <t>Cleanliness</t>
  </si>
  <si>
    <t>Staff_Behavior</t>
  </si>
  <si>
    <t>Overall_Rating</t>
  </si>
  <si>
    <t>Suggestion</t>
  </si>
  <si>
    <t>S001</t>
  </si>
  <si>
    <t>Lunch</t>
  </si>
  <si>
    <t>Great service</t>
  </si>
  <si>
    <t>S002</t>
  </si>
  <si>
    <t>Too oily</t>
  </si>
  <si>
    <t>S003</t>
  </si>
  <si>
    <t>Dinner</t>
  </si>
  <si>
    <t>S004</t>
  </si>
  <si>
    <t>Breakfast</t>
  </si>
  <si>
    <t>Add more salad</t>
  </si>
  <si>
    <t>S005</t>
  </si>
  <si>
    <t>Increase quantity</t>
  </si>
  <si>
    <t>S006</t>
  </si>
  <si>
    <t>Need more variety</t>
  </si>
  <si>
    <t>S007</t>
  </si>
  <si>
    <t>S008</t>
  </si>
  <si>
    <t>Rice not cooked well</t>
  </si>
  <si>
    <t>S009</t>
  </si>
  <si>
    <t>Food temperature low</t>
  </si>
  <si>
    <t>S010</t>
  </si>
  <si>
    <t>S011</t>
  </si>
  <si>
    <t>Staff very polite</t>
  </si>
  <si>
    <t>S012</t>
  </si>
  <si>
    <t>S013</t>
  </si>
  <si>
    <t>Food served cold</t>
  </si>
  <si>
    <t>S014</t>
  </si>
  <si>
    <t>S015</t>
  </si>
  <si>
    <t>Reduce salt</t>
  </si>
  <si>
    <t>S016</t>
  </si>
  <si>
    <t>S017</t>
  </si>
  <si>
    <t>S018</t>
  </si>
  <si>
    <t>S019</t>
  </si>
  <si>
    <t>S020</t>
  </si>
  <si>
    <t>S021</t>
  </si>
  <si>
    <t>S022</t>
  </si>
  <si>
    <t>S023</t>
  </si>
  <si>
    <t>S024</t>
  </si>
  <si>
    <t>Need more non-veg options</t>
  </si>
  <si>
    <t>S025</t>
  </si>
  <si>
    <t>Food too spicy</t>
  </si>
  <si>
    <t>S026</t>
  </si>
  <si>
    <t>S027</t>
  </si>
  <si>
    <t>S028</t>
  </si>
  <si>
    <t>S029</t>
  </si>
  <si>
    <t>Tasty food</t>
  </si>
  <si>
    <t>S030</t>
  </si>
  <si>
    <t>S031</t>
  </si>
  <si>
    <t>S032</t>
  </si>
  <si>
    <t>S033</t>
  </si>
  <si>
    <t>S034</t>
  </si>
  <si>
    <t>S035</t>
  </si>
  <si>
    <t>S036</t>
  </si>
  <si>
    <t>S037</t>
  </si>
  <si>
    <t>S038</t>
  </si>
  <si>
    <t>S039</t>
  </si>
  <si>
    <t>S040</t>
  </si>
  <si>
    <t>S041</t>
  </si>
  <si>
    <t>S042</t>
  </si>
  <si>
    <t>S043</t>
  </si>
  <si>
    <t>S044</t>
  </si>
  <si>
    <t>S045</t>
  </si>
  <si>
    <t>S046</t>
  </si>
  <si>
    <t>S047</t>
  </si>
  <si>
    <t>S048</t>
  </si>
  <si>
    <t>S049</t>
  </si>
  <si>
    <t>Improve cleanliness</t>
  </si>
  <si>
    <t>S050</t>
  </si>
  <si>
    <t>S051</t>
  </si>
  <si>
    <t>Add fruits</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</si>
  <si>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</si>
  <si>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</si>
  <si>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</si>
  <si>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</si>
  <si>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</si>
  <si>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</si>
  <si>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</si>
  <si>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</si>
  <si>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</si>
  <si>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</si>
  <si>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</si>
  <si>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</si>
  <si>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</si>
  <si>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</si>
  <si>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</si>
  <si>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</si>
  <si>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</si>
  <si>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</si>
  <si>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</si>
  <si>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</si>
  <si>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</si>
  <si>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</si>
  <si>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</si>
  <si>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</si>
  <si>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</si>
  <si>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</si>
  <si>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</si>
  <si>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</si>
  <si>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</si>
  <si>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</si>
  <si>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</si>
  <si>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</si>
  <si>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</si>
  <si>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</si>
  <si>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</si>
  <si>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</si>
  <si>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</si>
  <si>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</si>
  <si>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</si>
  <si>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</si>
  <si>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</si>
  <si>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</si>
  <si>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</si>
  <si>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</si>
  <si>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</si>
  <si>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</si>
  <si>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</si>
  <si>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</si>
  <si>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</si>
  <si>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Week Number</t>
  </si>
  <si>
    <t>Month</t>
  </si>
  <si>
    <t>Sentiment</t>
  </si>
  <si>
    <t>Count of Student_ID</t>
  </si>
  <si>
    <t>Row Labels</t>
  </si>
  <si>
    <t>September</t>
  </si>
  <si>
    <t>October</t>
  </si>
  <si>
    <t>Grand Total</t>
  </si>
  <si>
    <t>Average of Overall_Rating</t>
  </si>
  <si>
    <t>Negative</t>
  </si>
  <si>
    <t>Neutral</t>
  </si>
  <si>
    <t>Positive</t>
  </si>
  <si>
    <t>percentage of feedbacks</t>
  </si>
  <si>
    <t>Average Rating</t>
  </si>
  <si>
    <t>Total feedbacks</t>
  </si>
  <si>
    <t>Column Labels</t>
  </si>
  <si>
    <t>02-Sep</t>
  </si>
  <si>
    <t>03-Sep</t>
  </si>
  <si>
    <t>04-Sep</t>
  </si>
  <si>
    <t>05-Sep</t>
  </si>
  <si>
    <t>06-Sep</t>
  </si>
  <si>
    <t>07-Sep</t>
  </si>
  <si>
    <t>08-Sep</t>
  </si>
  <si>
    <t>09-Sep</t>
  </si>
  <si>
    <t>10-Sep</t>
  </si>
  <si>
    <t>11-Sep</t>
  </si>
  <si>
    <t>12-Sep</t>
  </si>
  <si>
    <t>13-Sep</t>
  </si>
  <si>
    <t>14-Sep</t>
  </si>
  <si>
    <t>15-Sep</t>
  </si>
  <si>
    <t>16-Sep</t>
  </si>
  <si>
    <t>17-Sep</t>
  </si>
  <si>
    <t>18-Sep</t>
  </si>
  <si>
    <t>19-Sep</t>
  </si>
  <si>
    <t>20-Sep</t>
  </si>
  <si>
    <t>21-Sep</t>
  </si>
  <si>
    <t>22-Sep</t>
  </si>
  <si>
    <t>23-Sep</t>
  </si>
  <si>
    <t>24-Sep</t>
  </si>
  <si>
    <t>26-Sep</t>
  </si>
  <si>
    <t>27-Sep</t>
  </si>
  <si>
    <t>28-Sep</t>
  </si>
  <si>
    <t>29-Sep</t>
  </si>
  <si>
    <t>30-Sep</t>
  </si>
  <si>
    <t>01-Oct</t>
  </si>
  <si>
    <t>01-Sep</t>
  </si>
  <si>
    <t>Count of Overall_Rating</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</si>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</sst>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4F4F4"/>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1" applyFont="1"/>
    <xf numFmtId="14" fontId="0" fillId="0" borderId="0" xfId="0" applyNumberFormat="1" applyAlignment="1">
      <alignment horizontal="left"/>
    </xf>
    <xf numFmtId="0" fontId="0" fillId="2" borderId="0" xfId="0" applyFill="1"/>
    <xf numFmtId="0" fontId="0" fillId="2" borderId="0" xfId="0" applyFill="1" applyAlignment="1"/>
  </cellXfs>
  <cellStyles count="2">
    <cellStyle name="Normal" xfId="0" builtinId="0"/>
    <cellStyle name="Percent" xfId="1" builtinId="5"/>
  </cellStyles>
  <dxfs count="3">
    <dxf>
      <font>
        <name val="Segoe UI Semibold"/>
        <family val="2"/>
        <scheme val="none"/>
      </font>
    </dxf>
    <dxf>
      <fill>
        <patternFill>
          <bgColor theme="0"/>
        </patternFill>
      </fill>
    </dxf>
    <dxf>
      <fill>
        <patternFill>
          <bgColor rgb="FFE0E0E0"/>
        </patternFill>
      </fill>
    </dxf>
  </dxfs>
  <tableStyles count="6" defaultTableStyle="TableStyleMedium2" defaultPivotStyle="PivotStyleLight16">
    <tableStyle name="cafe" pivot="0" table="0" count="1" xr9:uid="{0376871B-DF95-44AE-A2A5-2F2DC43E26F0}"/>
    <tableStyle name="cafe style" pivot="0" table="0" count="1" xr9:uid="{C8B3FD86-9E5E-4E3B-997D-AF6B94DB1664}"/>
    <tableStyle name="Slicer Style 1" pivot="0" table="0" count="1" xr9:uid="{FC3A6AA2-0268-4484-8B8E-F9C2740D0650}">
      <tableStyleElement type="wholeTable" dxfId="2"/>
    </tableStyle>
    <tableStyle name="Slicer Style 2" pivot="0" table="0" count="1" xr9:uid="{5C6C999E-7DB7-4B53-8C63-B0110DD385F9}">
      <tableStyleElement type="wholeTable" dxfId="1"/>
    </tableStyle>
    <tableStyle name="Slicer Style 3" pivot="0" table="0" count="1" xr9:uid="{F9517EA2-0640-4EDE-AC4B-871108BF0B08}"/>
    <tableStyle name="Slicer Style 4" pivot="0" table="0" count="1" xr9:uid="{677C7C06-7C79-4E92-9712-AE9B2EFA6914}">
      <tableStyleElement type="headerRow" dxfId="0"/>
    </tableStyle>
  </tableStyles>
  <colors>
    <mruColors>
      <color rgb="FF3F51B5"/>
      <color rgb="FFFFFFFF"/>
      <color rgb="FF4A57D5"/>
      <color rgb="FFE0E0E0"/>
      <color rgb="FFBBD2FF"/>
      <color rgb="FF333333"/>
      <color rgb="FFC84848"/>
      <color rgb="FFC6A732"/>
      <color rgb="FF2FA96A"/>
      <color rgb="FF3349C4"/>
    </mruColors>
  </colors>
  <extLst>
    <ext xmlns:x14="http://schemas.microsoft.com/office/spreadsheetml/2009/9/main" uri="{46F421CA-312F-682f-3DD2-61675219B42D}">
      <x14:dxfs count="3">
        <dxf>
          <font>
            <color theme="0"/>
          </font>
          <fill>
            <patternFill>
              <bgColor rgb="FF4A57D5"/>
            </patternFill>
          </fill>
        </dxf>
        <dxf>
          <font>
            <color theme="0"/>
          </font>
          <fill>
            <patternFill>
              <bgColor rgb="FF4A57D5"/>
            </patternFill>
          </fill>
          <border diagonalUp="0" diagonalDown="0">
            <left/>
            <right/>
            <top/>
            <bottom/>
            <vertical/>
            <horizontal/>
          </border>
        </dxf>
        <dxf>
          <font>
            <color theme="0"/>
          </font>
          <fill>
            <patternFill>
              <bgColor rgb="FF4A57D5"/>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afe">
          <x14:slicerStyleElements>
            <x14:slicerStyleElement type="selectedItemWithData" dxfId="2"/>
          </x14:slicerStyleElements>
        </x14:slicerStyle>
        <x14:slicerStyle name="cafe style">
          <x14:slicerStyleElements>
            <x14:slicerStyleElement type="selectedItemWithData" dxfId="1"/>
          </x14:slicerStyleElements>
        </x14:slicerStyle>
        <x14:slicerStyle name="Slicer Style 1"/>
        <x14:slicerStyle name="Slicer Style 2"/>
        <x14:slicerStyle name="Slicer Style 3">
          <x14:slicerStyleElements>
            <x14:slicerStyleElement type="selectedItemWithData" dxfId="0"/>
          </x14:slicerStyleElements>
        </x14:slicerStyle>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[Dashboard_Cafeteria_Rating.xlsx]KPI!PivotTable9</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Date wise Count_Rating</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KPI!$Z$4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KPI!$Y$5:$Y$34</c:f>
              <c:strCache>
                <c:ptCount val="30"/>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26-Sep</c:v>
                </c:pt>
                <c:pt idx="25">
                  <c:v>27-Sep</c:v>
                </c:pt>
                <c:pt idx="26">
                  <c:v>28-Sep</c:v>
                </c:pt>
                <c:pt idx="27">
                  <c:v>29-Sep</c:v>
                </c:pt>
                <c:pt idx="28">
                  <c:v>30-Sep</c:v>
                </c:pt>
                <c:pt idx="29">
                  <c:v>01-Oct</c:v>
                </c:pt>
              </c:strCache>
            </c:strRef>
          </c:cat>
          <c:val>
            <c:numRef>
              <c:f>KPI!$Z$5:$Z$34</c:f>
              <c:numCache>
                <c:formatCode>General</c:formatCode>
                <c:ptCount val="30"/>
                <c:pt idx="0">
                  <c:v>2</c:v>
                </c:pt>
                <c:pt idx="1">
                  <c:v>2</c:v>
                </c:pt>
                <c:pt idx="2">
                  <c:v>6</c:v>
                </c:pt>
                <c:pt idx="3">
                  <c:v>2</c:v>
                </c:pt>
                <c:pt idx="4">
                  <c:v>5</c:v>
                </c:pt>
                <c:pt idx="5">
                  <c:v>2</c:v>
                </c:pt>
                <c:pt idx="6">
                  <c:v>2</c:v>
                </c:pt>
                <c:pt idx="7">
                  <c:v>5</c:v>
                </c:pt>
                <c:pt idx="8">
                  <c:v>2</c:v>
                </c:pt>
                <c:pt idx="9">
                  <c:v>3</c:v>
                </c:pt>
                <c:pt idx="10">
                  <c:v>6</c:v>
                </c:pt>
                <c:pt idx="11">
                  <c:v>5</c:v>
                </c:pt>
                <c:pt idx="12">
                  <c:v>4</c:v>
                </c:pt>
                <c:pt idx="13">
                  <c:v>4</c:v>
                </c:pt>
                <c:pt idx="14">
                  <c:v>5</c:v>
                </c:pt>
                <c:pt idx="15">
                  <c:v>1</c:v>
                </c:pt>
                <c:pt idx="16">
                  <c:v>3</c:v>
                </c:pt>
                <c:pt idx="17">
                  <c:v>3</c:v>
                </c:pt>
                <c:pt idx="18">
                  <c:v>2</c:v>
                </c:pt>
                <c:pt idx="19">
                  <c:v>3</c:v>
                </c:pt>
                <c:pt idx="20">
                  <c:v>4</c:v>
                </c:pt>
                <c:pt idx="21">
                  <c:v>2</c:v>
                </c:pt>
                <c:pt idx="22">
                  <c:v>4</c:v>
                </c:pt>
                <c:pt idx="23">
                  <c:v>2</c:v>
                </c:pt>
                <c:pt idx="24">
                  <c:v>2</c:v>
                </c:pt>
                <c:pt idx="25">
                  <c:v>4</c:v>
                </c:pt>
                <c:pt idx="26">
                  <c:v>5</c:v>
                </c:pt>
                <c:pt idx="27">
                  <c:v>3</c:v>
                </c:pt>
                <c:pt idx="28">
                  <c:v>2</c:v>
                </c:pt>
                <c:pt idx="29">
                  <c:v>5</c:v>
                </c:pt>
              </c:numCache>
            </c:numRef>
          </c:val>
          <c:extLst>
            <c:ext xmlns:c16="http://schemas.microsoft.com/office/drawing/2014/chart" uri="{C3380CC4-5D6E-409C-BE32-E72D297353CC}">
              <c16:uniqueId val="{00000000-7AF1-43AA-B1A0-6071D2989F52}"/>
            </c:ext>
          </c:extLst>
        </c:ser>
        <c:dLbls>
          <c:dLblPos val="outEnd"/>
          <c:showLegendKey val="0"/>
          <c:showVal val="1"/>
          <c:showCatName val="0"/>
          <c:showSerName val="0"/>
          <c:showPercent val="0"/>
          <c:showBubbleSize val="0"/>
        </c:dLbls>
        <c:gapWidth val="115"/>
        <c:overlap val="-20"/>
        <c:axId val="1199861567"/>
        <c:axId val="1199864895"/>
      </c:barChart>
      <c:catAx>
        <c:axId val="11998615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864895"/>
        <c:crosses val="autoZero"/>
        <c:auto val="1"/>
        <c:lblAlgn val="ctr"/>
        <c:lblOffset val="100"/>
        <c:noMultiLvlLbl val="0"/>
      </c:catAx>
      <c:valAx>
        <c:axId val="1199864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861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[Dashboard_Cafeteria_Rating.xlsx]KPI!Sentiment by Month</c:name>
    <c:fmtId val="2"/>
  </c:pivotSource>
  <c:chart>
    <c:title>
      <c:tx>
        <c:rich>
          <a:bodyPr rot="0" spcFirstLastPara="1" vertOverflow="ellipsis" vert="horz" wrap="square" anchor="ctr" anchorCtr="1"/>
          <a:lstStyle/>
          <a:p>
            <a:pPr algn="ctr" rtl="0">
              <a:defRPr lang="en-IN" sz="1600" b="0" i="0" u="none" strike="noStrike" kern="1200" cap="none" spc="0" baseline="0">
                <a:ln w="0"/>
                <a:solidFill>
                  <a:srgbClr val="333333"/>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r>
              <a:rPr lang="en-IN" sz="1600" b="0" i="0" u="none" strike="noStrike" kern="1200" cap="none" spc="0" baseline="0">
                <a:ln w="0"/>
                <a:solidFill>
                  <a:srgbClr val="333333"/>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rPr>
              <a:t>Sentiment by Month</a:t>
            </a:r>
          </a:p>
          <a:p>
            <a:pPr algn="ctr" rtl="0">
              <a:defRPr lang="en-IN" sz="1600" cap="none">
                <a:ln w="0"/>
                <a:solidFill>
                  <a:srgbClr val="333333"/>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defRPr>
            </a:pPr>
            <a:endParaRPr lang="en-IN" sz="1600" b="0" i="0" u="none" strike="noStrike" kern="1200" cap="none" spc="0" baseline="0">
              <a:ln w="0"/>
              <a:solidFill>
                <a:srgbClr val="333333"/>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lgn="ctr" rtl="0">
            <a:defRPr lang="en-IN" sz="1600" b="0" i="0" u="none" strike="noStrike" kern="1200" cap="none" spc="0" baseline="0">
              <a:ln w="0"/>
              <a:solidFill>
                <a:srgbClr val="333333"/>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FF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0357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
        <c:idx val="7"/>
        <c:spPr>
          <a:solidFill>
            <a:srgbClr val="B8A7E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C5DD3"/>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03572"/>
          </a:solidFill>
          <a:ln>
            <a:noFill/>
          </a:ln>
          <a:effectLst/>
        </c:spPr>
      </c:pivotFmt>
      <c:pivotFmt>
        <c:idx val="11"/>
        <c:spPr>
          <a:solidFill>
            <a:srgbClr val="403572"/>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8A7E0"/>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
        <c:idx val="13"/>
        <c:spPr>
          <a:solidFill>
            <a:srgbClr val="6C5DD3"/>
          </a:solidFill>
          <a:ln>
            <a:noFill/>
          </a:ln>
          <a:effectLst/>
        </c:spPr>
      </c:pivotFmt>
    </c:pivotFmts>
    <c:plotArea>
      <c:layout/>
      <c:barChart>
        <c:barDir val="bar"/>
        <c:grouping val="clustered"/>
        <c:varyColors val="0"/>
        <c:ser>
          <c:idx val="0"/>
          <c:order val="0"/>
          <c:tx>
            <c:strRef>
              <c:f>KPI!$F$3:$F$4</c:f>
              <c:strCache>
                <c:ptCount val="1"/>
                <c:pt idx="0">
                  <c:v>Negative</c:v>
                </c:pt>
              </c:strCache>
            </c:strRef>
          </c:tx>
          <c:spPr>
            <a:solidFill>
              <a:srgbClr val="403572"/>
            </a:solidFill>
            <a:ln>
              <a:noFill/>
            </a:ln>
            <a:effectLst/>
          </c:spPr>
          <c:invertIfNegative val="0"/>
          <c:dPt>
            <c:idx val="0"/>
            <c:invertIfNegative val="0"/>
            <c:bubble3D val="0"/>
            <c:spPr>
              <a:solidFill>
                <a:srgbClr val="403572"/>
              </a:solidFill>
              <a:ln>
                <a:noFill/>
              </a:ln>
              <a:effectLst/>
            </c:spPr>
            <c:extLst>
              <c:ext xmlns:c16="http://schemas.microsoft.com/office/drawing/2014/chart" uri="{C3380CC4-5D6E-409C-BE32-E72D297353CC}">
                <c16:uniqueId val="{00000006-6A63-407F-B856-0B332367FDDC}"/>
              </c:ext>
            </c:extLst>
          </c:dPt>
          <c:dPt>
            <c:idx val="1"/>
            <c:invertIfNegative val="0"/>
            <c:bubble3D val="0"/>
            <c:spPr>
              <a:solidFill>
                <a:srgbClr val="403572"/>
              </a:solidFill>
              <a:ln>
                <a:noFill/>
              </a:ln>
              <a:effectLst/>
            </c:spPr>
            <c:extLst>
              <c:ext xmlns:c16="http://schemas.microsoft.com/office/drawing/2014/chart" uri="{C3380CC4-5D6E-409C-BE32-E72D297353CC}">
                <c16:uniqueId val="{00000005-6A63-407F-B856-0B332367FDDC}"/>
              </c:ext>
            </c:extLst>
          </c:dPt>
          <c:dLbls>
            <c:dLbl>
              <c:idx val="0"/>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A63-407F-B856-0B332367FDDC}"/>
                </c:ext>
              </c:extLst>
            </c:dLbl>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KPI!$E$5:$E$6</c:f>
              <c:strCache>
                <c:ptCount val="2"/>
                <c:pt idx="0">
                  <c:v>September</c:v>
                </c:pt>
                <c:pt idx="1">
                  <c:v>October</c:v>
                </c:pt>
              </c:strCache>
            </c:strRef>
          </c:cat>
          <c:val>
            <c:numRef>
              <c:f>KPI!$F$5:$F$6</c:f>
              <c:numCache>
                <c:formatCode>General</c:formatCode>
                <c:ptCount val="2"/>
                <c:pt idx="0">
                  <c:v>2.8696202531645572</c:v>
                </c:pt>
                <c:pt idx="1">
                  <c:v>3.05</c:v>
                </c:pt>
              </c:numCache>
            </c:numRef>
          </c:val>
          <c:extLst>
            <c:ext xmlns:c16="http://schemas.microsoft.com/office/drawing/2014/chart" uri="{C3380CC4-5D6E-409C-BE32-E72D297353CC}">
              <c16:uniqueId val="{00000002-6A63-407F-B856-0B332367FDDC}"/>
            </c:ext>
          </c:extLst>
        </c:ser>
        <c:ser>
          <c:idx val="1"/>
          <c:order val="1"/>
          <c:tx>
            <c:strRef>
              <c:f>KPI!$G$3:$G$4</c:f>
              <c:strCache>
                <c:ptCount val="1"/>
                <c:pt idx="0">
                  <c:v>Neutral</c:v>
                </c:pt>
              </c:strCache>
            </c:strRef>
          </c:tx>
          <c:spPr>
            <a:solidFill>
              <a:srgbClr val="B8A7E0"/>
            </a:solidFill>
            <a:ln>
              <a:noFill/>
            </a:ln>
            <a:effectLst/>
          </c:spPr>
          <c:invertIfNegative val="0"/>
          <c:dPt>
            <c:idx val="0"/>
            <c:invertIfNegative val="0"/>
            <c:bubble3D val="0"/>
            <c:spPr>
              <a:solidFill>
                <a:srgbClr val="B8A7E0"/>
              </a:solidFill>
              <a:ln>
                <a:noFill/>
              </a:ln>
              <a:effectLst/>
            </c:spPr>
            <c:extLst>
              <c:ext xmlns:c16="http://schemas.microsoft.com/office/drawing/2014/chart" uri="{C3380CC4-5D6E-409C-BE32-E72D297353CC}">
                <c16:uniqueId val="{00000007-6A63-407F-B856-0B332367FDDC}"/>
              </c:ext>
            </c:extLst>
          </c:dPt>
          <c:dLbls>
            <c:dLbl>
              <c:idx val="0"/>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6A63-407F-B856-0B332367FDDC}"/>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KPI!$E$5:$E$6</c:f>
              <c:strCache>
                <c:ptCount val="2"/>
                <c:pt idx="0">
                  <c:v>September</c:v>
                </c:pt>
                <c:pt idx="1">
                  <c:v>October</c:v>
                </c:pt>
              </c:strCache>
            </c:strRef>
          </c:cat>
          <c:val>
            <c:numRef>
              <c:f>KPI!$G$5:$G$6</c:f>
              <c:numCache>
                <c:formatCode>General</c:formatCode>
                <c:ptCount val="2"/>
                <c:pt idx="0">
                  <c:v>3</c:v>
                </c:pt>
              </c:numCache>
            </c:numRef>
          </c:val>
          <c:extLst>
            <c:ext xmlns:c16="http://schemas.microsoft.com/office/drawing/2014/chart" uri="{C3380CC4-5D6E-409C-BE32-E72D297353CC}">
              <c16:uniqueId val="{00000003-6A63-407F-B856-0B332367FDDC}"/>
            </c:ext>
          </c:extLst>
        </c:ser>
        <c:ser>
          <c:idx val="2"/>
          <c:order val="2"/>
          <c:tx>
            <c:strRef>
              <c:f>KPI!$H$3:$H$4</c:f>
              <c:strCache>
                <c:ptCount val="1"/>
                <c:pt idx="0">
                  <c:v>Positive</c:v>
                </c:pt>
              </c:strCache>
            </c:strRef>
          </c:tx>
          <c:spPr>
            <a:solidFill>
              <a:srgbClr val="6C5DD3"/>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KPI!$E$5:$E$6</c:f>
              <c:strCache>
                <c:ptCount val="2"/>
                <c:pt idx="0">
                  <c:v>September</c:v>
                </c:pt>
                <c:pt idx="1">
                  <c:v>October</c:v>
                </c:pt>
              </c:strCache>
            </c:strRef>
          </c:cat>
          <c:val>
            <c:numRef>
              <c:f>KPI!$H$5:$H$6</c:f>
              <c:numCache>
                <c:formatCode>General</c:formatCode>
                <c:ptCount val="2"/>
                <c:pt idx="0">
                  <c:v>4.3800000000000008</c:v>
                </c:pt>
                <c:pt idx="1">
                  <c:v>4.5999999999999996</c:v>
                </c:pt>
              </c:numCache>
            </c:numRef>
          </c:val>
          <c:extLst>
            <c:ext xmlns:c16="http://schemas.microsoft.com/office/drawing/2014/chart" uri="{C3380CC4-5D6E-409C-BE32-E72D297353CC}">
              <c16:uniqueId val="{00000004-6A63-407F-B856-0B332367FDDC}"/>
            </c:ext>
          </c:extLst>
        </c:ser>
        <c:dLbls>
          <c:dLblPos val="outEnd"/>
          <c:showLegendKey val="0"/>
          <c:showVal val="1"/>
          <c:showCatName val="0"/>
          <c:showSerName val="0"/>
          <c:showPercent val="0"/>
          <c:showBubbleSize val="0"/>
        </c:dLbls>
        <c:gapWidth val="219"/>
        <c:axId val="1290875887"/>
        <c:axId val="1290872559"/>
      </c:barChart>
      <c:catAx>
        <c:axId val="1290875887"/>
        <c:scaling>
          <c:orientation val="minMax"/>
        </c:scaling>
        <c:delete val="1"/>
        <c:axPos val="l"/>
        <c:numFmt formatCode="General" sourceLinked="1"/>
        <c:majorTickMark val="none"/>
        <c:minorTickMark val="none"/>
        <c:tickLblPos val="nextTo"/>
        <c:crossAx val="1290872559"/>
        <c:crosses val="autoZero"/>
        <c:auto val="1"/>
        <c:lblAlgn val="ctr"/>
        <c:lblOffset val="100"/>
        <c:noMultiLvlLbl val="0"/>
      </c:catAx>
      <c:valAx>
        <c:axId val="1290872559"/>
        <c:scaling>
          <c:orientation val="minMax"/>
        </c:scaling>
        <c:delete val="1"/>
        <c:axPos val="b"/>
        <c:numFmt formatCode="General" sourceLinked="1"/>
        <c:majorTickMark val="none"/>
        <c:minorTickMark val="none"/>
        <c:tickLblPos val="nextTo"/>
        <c:crossAx val="1290875887"/>
        <c:crosses val="autoZero"/>
        <c:crossBetween val="between"/>
      </c:valAx>
      <c:spPr>
        <a:noFill/>
        <a:ln>
          <a:noFill/>
        </a:ln>
        <a:effectLst/>
      </c:spPr>
    </c:plotArea>
    <c:legend>
      <c:legendPos val="r"/>
      <c:layout>
        <c:manualLayout>
          <c:xMode val="edge"/>
          <c:yMode val="edge"/>
          <c:x val="0.83199999999999985"/>
          <c:y val="0.46118066491688536"/>
          <c:w val="0.15875"/>
          <c:h val="0.35361837606837604"/>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[Dashboard_Cafeteria_Rating.xlsx]KPI!Sentiment by Week</c:name>
    <c:fmtId val="2"/>
  </c:pivotSource>
  <c:chart>
    <c:title>
      <c:tx>
        <c:rich>
          <a:bodyPr rot="0" spcFirstLastPara="1" vertOverflow="ellipsis" vert="horz" wrap="square" anchor="ctr" anchorCtr="1"/>
          <a:lstStyle/>
          <a:p>
            <a:pPr algn="ctr" rtl="0">
              <a:defRPr lang="en-IN" sz="900" b="0" i="0" u="none" strike="noStrike" kern="1200" spc="0" baseline="0">
                <a:ln w="9525" cap="flat">
                  <a:solidFill>
                    <a:schemeClr val="tx1">
                      <a:lumMod val="75000"/>
                      <a:lumOff val="25000"/>
                    </a:schemeClr>
                  </a:solidFill>
                </a:ln>
                <a:solidFill>
                  <a:schemeClr val="tx1">
                    <a:lumMod val="75000"/>
                    <a:lumOff val="25000"/>
                  </a:schemeClr>
                </a:solidFill>
                <a:latin typeface="+mn-lt"/>
                <a:ea typeface="+mn-ea"/>
                <a:cs typeface="+mn-cs"/>
              </a:defRPr>
            </a:pPr>
            <a:r>
              <a:rPr lang="en-IN" sz="1600" b="0" i="0" u="none" strike="noStrike" kern="1200" baseline="0">
                <a:ln w="9525" cap="flat">
                  <a:solidFill>
                    <a:schemeClr val="tx1">
                      <a:lumMod val="75000"/>
                      <a:lumOff val="25000"/>
                    </a:schemeClr>
                  </a:solidFill>
                </a:ln>
                <a:solidFill>
                  <a:schemeClr val="tx1">
                    <a:lumMod val="75000"/>
                    <a:lumOff val="25000"/>
                  </a:schemeClr>
                </a:solidFill>
                <a:latin typeface="Segoe UI Semibold" panose="020B0702040204020203" pitchFamily="34" charset="0"/>
                <a:ea typeface="+mn-ea"/>
                <a:cs typeface="Segoe UI Semibold" panose="020B0702040204020203" pitchFamily="34" charset="0"/>
              </a:rPr>
              <a:t>Sentiment by Week</a:t>
            </a:r>
          </a:p>
          <a:p>
            <a:pPr algn="ctr" rtl="0">
              <a:defRPr lang="en-IN" sz="900">
                <a:ln w="9525" cap="flat">
                  <a:solidFill>
                    <a:schemeClr val="tx1">
                      <a:lumMod val="75000"/>
                      <a:lumOff val="25000"/>
                    </a:schemeClr>
                  </a:solidFill>
                </a:ln>
                <a:solidFill>
                  <a:schemeClr val="tx1">
                    <a:lumMod val="75000"/>
                    <a:lumOff val="25000"/>
                  </a:schemeClr>
                </a:solidFill>
              </a:defRPr>
            </a:pPr>
            <a:endParaRPr lang="en-IN"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IN" sz="900" b="0" i="0" u="none" strike="noStrike" kern="1200" spc="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E0E0E0"/>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E0E0E0"/>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E0E0E0"/>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E0E0E0"/>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E0E0E0"/>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E0E0E0"/>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03572"/>
          </a:solidFill>
          <a:ln>
            <a:noFill/>
          </a:ln>
          <a:effectLst/>
        </c:spPr>
        <c:marker>
          <c:symbol val="none"/>
        </c:marker>
        <c:dLbl>
          <c:idx val="0"/>
          <c:numFmt formatCode="#,##0.00" sourceLinked="0"/>
          <c:spPr>
            <a:noFill/>
            <a:ln>
              <a:noFill/>
            </a:ln>
            <a:effectLst/>
          </c:spPr>
          <c:txPr>
            <a:bodyPr rot="0" spcFirstLastPara="1" vertOverflow="ellipsis" vert="horz" wrap="square" anchor="ctr" anchorCtr="0"/>
            <a:lstStyle/>
            <a:p>
              <a:pPr algn="ctr" rtl="0">
                <a:defRPr lang="en-US" sz="700" b="0" i="0" u="none" strike="noStrike" kern="1200" baseline="0">
                  <a:ln w="9525" cap="flat">
                    <a:solidFill>
                      <a:sysClr val="windowText" lastClr="000000">
                        <a:lumMod val="75000"/>
                        <a:lumOff val="25000"/>
                      </a:sysClr>
                    </a:solidFill>
                  </a:ln>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8A7E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C5DD3"/>
          </a:solidFill>
          <a:ln>
            <a:noFill/>
          </a:ln>
          <a:effectLst/>
        </c:spPr>
        <c:marker>
          <c:symbol val="none"/>
        </c:marker>
        <c:dLbl>
          <c:idx val="0"/>
          <c:numFmt formatCode="#,##0.00" sourceLinked="0"/>
          <c:spPr>
            <a:noFill/>
            <a:ln>
              <a:noFill/>
            </a:ln>
            <a:effectLst/>
          </c:spPr>
          <c:txPr>
            <a:bodyPr rot="0" spcFirstLastPara="1" vertOverflow="overflow" horzOverflow="overflow" vert="horz" wrap="square" anchor="ctr" anchorCtr="0">
              <a:noAutofit/>
            </a:bodyPr>
            <a:lstStyle/>
            <a:p>
              <a:pPr algn="ct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E0E0E0"/>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C5DD3"/>
          </a:solidFill>
          <a:ln>
            <a:noFill/>
          </a:ln>
          <a:effectLst/>
        </c:spPr>
        <c:dLbl>
          <c:idx val="0"/>
          <c:layout>
            <c:manualLayout>
              <c:x val="-5.3895982327284637E-17"/>
              <c:y val="0"/>
            </c:manualLayout>
          </c:layout>
          <c:numFmt formatCode="#,##0.00" sourceLinked="0"/>
          <c:spPr>
            <a:noFill/>
            <a:ln>
              <a:noFill/>
            </a:ln>
            <a:effectLst/>
          </c:spPr>
          <c:txPr>
            <a:bodyPr rot="0" spcFirstLastPara="1" vertOverflow="overflow" horzOverflow="overflow" vert="horz" wrap="square" anchor="ctr" anchorCtr="0">
              <a:noAutofit/>
            </a:bodyPr>
            <a:lstStyle/>
            <a:p>
              <a:pPr algn="ctr">
                <a:defRPr lang="en-US" sz="7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4528935185185182E-2"/>
                  <c:h val="7.59017094017094E-2"/>
                </c:manualLayout>
              </c15:layout>
            </c:ext>
          </c:extLst>
        </c:dLbl>
      </c:pivotFmt>
      <c:pivotFmt>
        <c:idx val="11"/>
        <c:spPr>
          <a:solidFill>
            <a:srgbClr val="6C5DD3"/>
          </a:solidFill>
          <a:ln>
            <a:noFill/>
          </a:ln>
          <a:effectLst/>
        </c:spPr>
        <c:dLbl>
          <c:idx val="0"/>
          <c:tx>
            <c:rich>
              <a:bodyPr rot="0" spcFirstLastPara="1" vertOverflow="overflow" horzOverflow="overflow" vert="horz" wrap="square" anchor="ctr" anchorCtr="0">
                <a:noAutofit/>
              </a:bodyPr>
              <a:lstStyle/>
              <a:p>
                <a:pPr algn="ctr" rtl="0">
                  <a:defRPr lang="en-US" sz="7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fld id="{DDED0A90-E1BE-40BD-8D18-9E4E75C50383}" type="VALUE">
                  <a:rPr lang="en-US" sz="7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rPr>
                  <a:pPr algn="ctr" rtl="0">
                    <a:defRPr lang="en-US" sz="700">
                      <a:ln w="9525" cap="flat">
                        <a:solidFill>
                          <a:schemeClr val="tx1">
                            <a:lumMod val="75000"/>
                            <a:lumOff val="25000"/>
                          </a:schemeClr>
                        </a:solidFill>
                      </a:ln>
                    </a:defRPr>
                  </a:pPr>
                  <a:t>[VALUE]</a:t>
                </a:fld>
                <a:endParaRPr lang="en-IN"/>
              </a:p>
            </c:rich>
          </c:tx>
          <c:numFmt formatCode="#,##0.00" sourceLinked="0"/>
          <c:spPr>
            <a:noFill/>
            <a:ln>
              <a:noFill/>
            </a:ln>
            <a:effectLst/>
          </c:spPr>
          <c:txPr>
            <a:bodyPr rot="0" spcFirstLastPara="1" vertOverflow="overflow" horzOverflow="overflow" vert="horz" wrap="square" anchor="ctr" anchorCtr="0">
              <a:noAutofit/>
            </a:bodyPr>
            <a:lstStyle/>
            <a:p>
              <a:pPr algn="ctr" rtl="0">
                <a:defRPr lang="en-US" sz="7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4528935185185182E-2"/>
                  <c:h val="7.59017094017094E-2"/>
                </c:manualLayout>
              </c15:layout>
              <c15:dlblFieldTable/>
              <c15:showDataLabelsRange val="0"/>
            </c:ext>
          </c:extLst>
        </c:dLbl>
      </c:pivotFmt>
      <c:pivotFmt>
        <c:idx val="12"/>
        <c:spPr>
          <a:solidFill>
            <a:srgbClr val="6C5DD3"/>
          </a:solidFill>
          <a:ln>
            <a:noFill/>
          </a:ln>
          <a:effectLst/>
        </c:spPr>
        <c:dLbl>
          <c:idx val="0"/>
          <c:tx>
            <c:rich>
              <a:bodyPr rot="0" spcFirstLastPara="1" vertOverflow="overflow" horzOverflow="overflow" vert="horz" wrap="square" anchor="ctr" anchorCtr="0">
                <a:noAutofit/>
              </a:bodyPr>
              <a:lstStyle/>
              <a:p>
                <a:pPr algn="ctr" rtl="0">
                  <a:defRPr lang="en-US" sz="7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fld id="{FEAABD49-A01D-4882-BADA-13DB2F5439AD}" type="VALUE">
                  <a:rPr lang="en-US" sz="7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rPr>
                  <a:pPr algn="ctr" rtl="0">
                    <a:defRPr lang="en-US" sz="700">
                      <a:ln w="9525" cap="flat">
                        <a:solidFill>
                          <a:schemeClr val="tx1">
                            <a:lumMod val="75000"/>
                            <a:lumOff val="25000"/>
                          </a:schemeClr>
                        </a:solidFill>
                      </a:ln>
                    </a:defRPr>
                  </a:pPr>
                  <a:t>[VALUE]</a:t>
                </a:fld>
                <a:endParaRPr lang="en-IN"/>
              </a:p>
            </c:rich>
          </c:tx>
          <c:numFmt formatCode="#,##0.00" sourceLinked="0"/>
          <c:spPr>
            <a:noFill/>
            <a:ln>
              <a:noFill/>
            </a:ln>
            <a:effectLst/>
          </c:spPr>
          <c:txPr>
            <a:bodyPr rot="0" spcFirstLastPara="1" vertOverflow="overflow" horzOverflow="overflow" vert="horz" wrap="square" anchor="ctr" anchorCtr="0">
              <a:noAutofit/>
            </a:bodyPr>
            <a:lstStyle/>
            <a:p>
              <a:pPr algn="ctr" rtl="0">
                <a:defRPr lang="en-US" sz="7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4528935185185182E-2"/>
                  <c:h val="7.59017094017094E-2"/>
                </c:manualLayout>
              </c15:layout>
              <c15:dlblFieldTable/>
              <c15:showDataLabelsRange val="0"/>
            </c:ext>
          </c:extLst>
        </c:dLbl>
      </c:pivotFmt>
      <c:pivotFmt>
        <c:idx val="13"/>
        <c:spPr>
          <a:solidFill>
            <a:srgbClr val="6C5DD3"/>
          </a:solidFill>
          <a:ln>
            <a:noFill/>
          </a:ln>
          <a:effectLst/>
        </c:spPr>
        <c:dLbl>
          <c:idx val="0"/>
          <c:numFmt formatCode="#,##0.00" sourceLinked="0"/>
          <c:spPr>
            <a:noFill/>
            <a:ln>
              <a:noFill/>
            </a:ln>
            <a:effectLst/>
          </c:spPr>
          <c:txPr>
            <a:bodyPr rot="0" spcFirstLastPara="1" vertOverflow="overflow" horzOverflow="overflow" vert="horz" wrap="square" anchor="ctr" anchorCtr="0">
              <a:noAutofit/>
            </a:bodyPr>
            <a:lstStyle/>
            <a:p>
              <a:pPr algn="ct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
                  <c:h val="0"/>
                </c:manualLayout>
              </c15:layout>
            </c:ext>
          </c:extLst>
        </c:dLbl>
      </c:pivotFmt>
      <c:pivotFmt>
        <c:idx val="14"/>
        <c:spPr>
          <a:solidFill>
            <a:srgbClr val="6C5DD3"/>
          </a:solidFill>
          <a:ln>
            <a:noFill/>
          </a:ln>
          <a:effectLst/>
        </c:spPr>
        <c:dLbl>
          <c:idx val="0"/>
          <c:numFmt formatCode="#,##0.00" sourceLinked="0"/>
          <c:spPr>
            <a:noFill/>
            <a:ln>
              <a:noFill/>
            </a:ln>
            <a:effectLst/>
          </c:spPr>
          <c:txPr>
            <a:bodyPr rot="0" spcFirstLastPara="1" vertOverflow="overflow" horzOverflow="overflow" vert="horz" wrap="square" anchor="ctr" anchorCtr="0">
              <a:noAutofit/>
            </a:bodyPr>
            <a:lstStyle/>
            <a:p>
              <a:pPr algn="ctr" rtl="0">
                <a:defRPr lang="en-US" sz="7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4528935185185182E-2"/>
                  <c:h val="7.59017094017094E-2"/>
                </c:manualLayout>
              </c15:layout>
            </c:ext>
          </c:extLst>
        </c:dLbl>
      </c:pivotFmt>
      <c:pivotFmt>
        <c:idx val="15"/>
        <c:spPr>
          <a:solidFill>
            <a:srgbClr val="403572"/>
          </a:solidFill>
          <a:ln>
            <a:noFill/>
          </a:ln>
          <a:effectLst/>
        </c:spPr>
      </c:pivotFmt>
      <c:pivotFmt>
        <c:idx val="16"/>
        <c:spPr>
          <a:solidFill>
            <a:srgbClr val="B8A7E0"/>
          </a:solidFill>
          <a:ln>
            <a:noFill/>
          </a:ln>
          <a:effectLst/>
        </c:spPr>
      </c:pivotFmt>
      <c:pivotFmt>
        <c:idx val="17"/>
        <c:spPr>
          <a:solidFill>
            <a:srgbClr val="B8A7E0"/>
          </a:solidFill>
          <a:ln>
            <a:noFill/>
          </a:ln>
          <a:effectLst/>
        </c:spPr>
      </c:pivotFmt>
      <c:pivotFmt>
        <c:idx val="18"/>
        <c:spPr>
          <a:solidFill>
            <a:srgbClr val="B8A7E0"/>
          </a:solidFill>
          <a:ln>
            <a:noFill/>
          </a:ln>
          <a:effectLst/>
        </c:spPr>
      </c:pivotFmt>
      <c:pivotFmt>
        <c:idx val="19"/>
        <c:spPr>
          <a:solidFill>
            <a:srgbClr val="B8A7E0"/>
          </a:solidFill>
          <a:ln>
            <a:noFill/>
          </a:ln>
          <a:effectLst/>
        </c:spPr>
      </c:pivotFmt>
      <c:pivotFmt>
        <c:idx val="20"/>
        <c:spPr>
          <a:solidFill>
            <a:srgbClr val="B8A7E0"/>
          </a:solidFill>
          <a:ln>
            <a:noFill/>
          </a:ln>
          <a:effectLst/>
        </c:spPr>
      </c:pivotFmt>
      <c:pivotFmt>
        <c:idx val="21"/>
        <c:spPr>
          <a:solidFill>
            <a:srgbClr val="403572"/>
          </a:solidFill>
          <a:ln>
            <a:noFill/>
          </a:ln>
          <a:effectLst/>
        </c:spPr>
      </c:pivotFmt>
    </c:pivotFmts>
    <c:plotArea>
      <c:layout/>
      <c:barChart>
        <c:barDir val="col"/>
        <c:grouping val="clustered"/>
        <c:varyColors val="0"/>
        <c:ser>
          <c:idx val="0"/>
          <c:order val="0"/>
          <c:tx>
            <c:strRef>
              <c:f>KPI!$K$3:$K$4</c:f>
              <c:strCache>
                <c:ptCount val="1"/>
                <c:pt idx="0">
                  <c:v>Negative</c:v>
                </c:pt>
              </c:strCache>
            </c:strRef>
          </c:tx>
          <c:spPr>
            <a:solidFill>
              <a:srgbClr val="403572"/>
            </a:solidFill>
            <a:ln>
              <a:noFill/>
            </a:ln>
            <a:effectLst/>
          </c:spPr>
          <c:invertIfNegative val="0"/>
          <c:dLbls>
            <c:numFmt formatCode="#,##0.00" sourceLinked="0"/>
            <c:spPr>
              <a:noFill/>
              <a:ln>
                <a:noFill/>
              </a:ln>
              <a:effectLst/>
            </c:spPr>
            <c:txPr>
              <a:bodyPr rot="0" spcFirstLastPara="1" vertOverflow="ellipsis" vert="horz" wrap="square" anchor="ctr" anchorCtr="0"/>
              <a:lstStyle/>
              <a:p>
                <a:pPr algn="ctr" rtl="0">
                  <a:defRPr lang="en-US" sz="700" b="0" i="0" u="none" strike="noStrike" kern="1200" baseline="0">
                    <a:ln w="9525" cap="flat">
                      <a:solidFill>
                        <a:sysClr val="windowText" lastClr="000000">
                          <a:lumMod val="75000"/>
                          <a:lumOff val="25000"/>
                        </a:sysClr>
                      </a:solidFill>
                    </a:ln>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KPI!$J$5:$J$9</c:f>
              <c:strCache>
                <c:ptCount val="5"/>
                <c:pt idx="0">
                  <c:v>36</c:v>
                </c:pt>
                <c:pt idx="1">
                  <c:v>37</c:v>
                </c:pt>
                <c:pt idx="2">
                  <c:v>38</c:v>
                </c:pt>
                <c:pt idx="3">
                  <c:v>39</c:v>
                </c:pt>
                <c:pt idx="4">
                  <c:v>40</c:v>
                </c:pt>
              </c:strCache>
            </c:strRef>
          </c:cat>
          <c:val>
            <c:numRef>
              <c:f>KPI!$K$5:$K$9</c:f>
              <c:numCache>
                <c:formatCode>General</c:formatCode>
                <c:ptCount val="5"/>
                <c:pt idx="0">
                  <c:v>2.6571428571428575</c:v>
                </c:pt>
                <c:pt idx="1">
                  <c:v>2.8874999999999997</c:v>
                </c:pt>
                <c:pt idx="2">
                  <c:v>2.8312499999999994</c:v>
                </c:pt>
                <c:pt idx="3">
                  <c:v>2.8176470588235292</c:v>
                </c:pt>
                <c:pt idx="4">
                  <c:v>3.2666666666666675</c:v>
                </c:pt>
              </c:numCache>
            </c:numRef>
          </c:val>
          <c:extLst>
            <c:ext xmlns:c16="http://schemas.microsoft.com/office/drawing/2014/chart" uri="{C3380CC4-5D6E-409C-BE32-E72D297353CC}">
              <c16:uniqueId val="{00000002-DDB2-4AD6-851B-19E716EB91BE}"/>
            </c:ext>
          </c:extLst>
        </c:ser>
        <c:ser>
          <c:idx val="1"/>
          <c:order val="1"/>
          <c:tx>
            <c:strRef>
              <c:f>KPI!$L$3:$L$4</c:f>
              <c:strCache>
                <c:ptCount val="1"/>
                <c:pt idx="0">
                  <c:v>Neutral</c:v>
                </c:pt>
              </c:strCache>
            </c:strRef>
          </c:tx>
          <c:spPr>
            <a:solidFill>
              <a:srgbClr val="B8A7E0"/>
            </a:solidFill>
            <a:ln>
              <a:noFill/>
            </a:ln>
            <a:effectLst/>
          </c:spPr>
          <c:invertIfNegative val="0"/>
          <c:dPt>
            <c:idx val="0"/>
            <c:invertIfNegative val="0"/>
            <c:bubble3D val="0"/>
            <c:spPr>
              <a:solidFill>
                <a:srgbClr val="B8A7E0"/>
              </a:solidFill>
              <a:ln>
                <a:noFill/>
              </a:ln>
              <a:effectLst/>
            </c:spPr>
            <c:extLst>
              <c:ext xmlns:c16="http://schemas.microsoft.com/office/drawing/2014/chart" uri="{C3380CC4-5D6E-409C-BE32-E72D297353CC}">
                <c16:uniqueId val="{00000000-53DD-4D82-9B8E-71FDABC316EE}"/>
              </c:ext>
            </c:extLst>
          </c:dPt>
          <c:dPt>
            <c:idx val="1"/>
            <c:invertIfNegative val="0"/>
            <c:bubble3D val="0"/>
            <c:spPr>
              <a:solidFill>
                <a:srgbClr val="B8A7E0"/>
              </a:solidFill>
              <a:ln>
                <a:noFill/>
              </a:ln>
              <a:effectLst/>
            </c:spPr>
            <c:extLst>
              <c:ext xmlns:c16="http://schemas.microsoft.com/office/drawing/2014/chart" uri="{C3380CC4-5D6E-409C-BE32-E72D297353CC}">
                <c16:uniqueId val="{00000001-53DD-4D82-9B8E-71FDABC316EE}"/>
              </c:ext>
            </c:extLst>
          </c:dPt>
          <c:dPt>
            <c:idx val="3"/>
            <c:invertIfNegative val="0"/>
            <c:bubble3D val="0"/>
            <c:spPr>
              <a:solidFill>
                <a:srgbClr val="B8A7E0"/>
              </a:solidFill>
              <a:ln>
                <a:noFill/>
              </a:ln>
              <a:effectLst/>
            </c:spPr>
            <c:extLst>
              <c:ext xmlns:c16="http://schemas.microsoft.com/office/drawing/2014/chart" uri="{C3380CC4-5D6E-409C-BE32-E72D297353CC}">
                <c16:uniqueId val="{00000002-53DD-4D82-9B8E-71FDABC316EE}"/>
              </c:ext>
            </c:extLst>
          </c:dPt>
          <c:dPt>
            <c:idx val="4"/>
            <c:invertIfNegative val="0"/>
            <c:bubble3D val="0"/>
            <c:spPr>
              <a:solidFill>
                <a:srgbClr val="B8A7E0"/>
              </a:solidFill>
              <a:ln>
                <a:noFill/>
              </a:ln>
              <a:effectLst/>
            </c:spPr>
            <c:extLst>
              <c:ext xmlns:c16="http://schemas.microsoft.com/office/drawing/2014/chart" uri="{C3380CC4-5D6E-409C-BE32-E72D297353CC}">
                <c16:uniqueId val="{00000003-53DD-4D82-9B8E-71FDABC316EE}"/>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KPI!$J$5:$J$9</c:f>
              <c:strCache>
                <c:ptCount val="5"/>
                <c:pt idx="0">
                  <c:v>36</c:v>
                </c:pt>
                <c:pt idx="1">
                  <c:v>37</c:v>
                </c:pt>
                <c:pt idx="2">
                  <c:v>38</c:v>
                </c:pt>
                <c:pt idx="3">
                  <c:v>39</c:v>
                </c:pt>
                <c:pt idx="4">
                  <c:v>40</c:v>
                </c:pt>
              </c:strCache>
            </c:strRef>
          </c:cat>
          <c:val>
            <c:numRef>
              <c:f>KPI!$L$5:$L$9</c:f>
              <c:numCache>
                <c:formatCode>General</c:formatCode>
                <c:ptCount val="5"/>
                <c:pt idx="0">
                  <c:v>3</c:v>
                </c:pt>
                <c:pt idx="1">
                  <c:v>3</c:v>
                </c:pt>
                <c:pt idx="2">
                  <c:v>3</c:v>
                </c:pt>
                <c:pt idx="3">
                  <c:v>3</c:v>
                </c:pt>
                <c:pt idx="4">
                  <c:v>3</c:v>
                </c:pt>
              </c:numCache>
            </c:numRef>
          </c:val>
          <c:extLst>
            <c:ext xmlns:c16="http://schemas.microsoft.com/office/drawing/2014/chart" uri="{C3380CC4-5D6E-409C-BE32-E72D297353CC}">
              <c16:uniqueId val="{00000003-DDB2-4AD6-851B-19E716EB91BE}"/>
            </c:ext>
          </c:extLst>
        </c:ser>
        <c:ser>
          <c:idx val="2"/>
          <c:order val="2"/>
          <c:tx>
            <c:strRef>
              <c:f>KPI!$M$3:$M$4</c:f>
              <c:strCache>
                <c:ptCount val="1"/>
                <c:pt idx="0">
                  <c:v>Positive</c:v>
                </c:pt>
              </c:strCache>
            </c:strRef>
          </c:tx>
          <c:spPr>
            <a:solidFill>
              <a:srgbClr val="6C5DD3"/>
            </a:solidFill>
            <a:ln>
              <a:noFill/>
            </a:ln>
            <a:effectLst/>
          </c:spPr>
          <c:invertIfNegative val="0"/>
          <c:dPt>
            <c:idx val="0"/>
            <c:invertIfNegative val="0"/>
            <c:bubble3D val="0"/>
            <c:spPr>
              <a:solidFill>
                <a:srgbClr val="6C5DD3"/>
              </a:solidFill>
              <a:ln>
                <a:noFill/>
              </a:ln>
              <a:effectLst/>
            </c:spPr>
            <c:extLst>
              <c:ext xmlns:c16="http://schemas.microsoft.com/office/drawing/2014/chart" uri="{C3380CC4-5D6E-409C-BE32-E72D297353CC}">
                <c16:uniqueId val="{00000006-DDB2-4AD6-851B-19E716EB91BE}"/>
              </c:ext>
            </c:extLst>
          </c:dPt>
          <c:dPt>
            <c:idx val="1"/>
            <c:invertIfNegative val="0"/>
            <c:bubble3D val="0"/>
            <c:spPr>
              <a:solidFill>
                <a:srgbClr val="6C5DD3"/>
              </a:solidFill>
              <a:ln>
                <a:noFill/>
              </a:ln>
              <a:effectLst/>
            </c:spPr>
            <c:extLst>
              <c:ext xmlns:c16="http://schemas.microsoft.com/office/drawing/2014/chart" uri="{C3380CC4-5D6E-409C-BE32-E72D297353CC}">
                <c16:uniqueId val="{00000007-DDB2-4AD6-851B-19E716EB91BE}"/>
              </c:ext>
            </c:extLst>
          </c:dPt>
          <c:dPt>
            <c:idx val="2"/>
            <c:invertIfNegative val="0"/>
            <c:bubble3D val="0"/>
            <c:spPr>
              <a:solidFill>
                <a:srgbClr val="6C5DD3"/>
              </a:solidFill>
              <a:ln>
                <a:noFill/>
              </a:ln>
              <a:effectLst/>
            </c:spPr>
            <c:extLst>
              <c:ext xmlns:c16="http://schemas.microsoft.com/office/drawing/2014/chart" uri="{C3380CC4-5D6E-409C-BE32-E72D297353CC}">
                <c16:uniqueId val="{00000005-DDB2-4AD6-851B-19E716EB91BE}"/>
              </c:ext>
            </c:extLst>
          </c:dPt>
          <c:dPt>
            <c:idx val="3"/>
            <c:invertIfNegative val="0"/>
            <c:bubble3D val="0"/>
            <c:spPr>
              <a:solidFill>
                <a:srgbClr val="6C5DD3"/>
              </a:solidFill>
              <a:ln>
                <a:noFill/>
              </a:ln>
              <a:effectLst/>
            </c:spPr>
            <c:extLst>
              <c:ext xmlns:c16="http://schemas.microsoft.com/office/drawing/2014/chart" uri="{C3380CC4-5D6E-409C-BE32-E72D297353CC}">
                <c16:uniqueId val="{00000008-DDB2-4AD6-851B-19E716EB91BE}"/>
              </c:ext>
            </c:extLst>
          </c:dPt>
          <c:dPt>
            <c:idx val="4"/>
            <c:invertIfNegative val="0"/>
            <c:bubble3D val="0"/>
            <c:spPr>
              <a:solidFill>
                <a:srgbClr val="6C5DD3"/>
              </a:solidFill>
              <a:ln>
                <a:noFill/>
              </a:ln>
              <a:effectLst/>
            </c:spPr>
            <c:extLst>
              <c:ext xmlns:c16="http://schemas.microsoft.com/office/drawing/2014/chart" uri="{C3380CC4-5D6E-409C-BE32-E72D297353CC}">
                <c16:uniqueId val="{00000009-DDB2-4AD6-851B-19E716EB91BE}"/>
              </c:ext>
            </c:extLst>
          </c:dPt>
          <c:dLbls>
            <c:dLbl>
              <c:idx val="0"/>
              <c:tx>
                <c:rich>
                  <a:bodyPr rot="0" spcFirstLastPara="1" vertOverflow="overflow" horzOverflow="overflow" vert="horz" wrap="square" anchor="ctr" anchorCtr="0">
                    <a:noAutofit/>
                  </a:bodyPr>
                  <a:lstStyle/>
                  <a:p>
                    <a:pPr algn="ctr" rtl="0">
                      <a:defRPr lang="en-US" sz="7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fld id="{DDED0A90-E1BE-40BD-8D18-9E4E75C50383}" type="VALUE">
                      <a:rPr lang="en-US" sz="7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rPr>
                      <a:pPr algn="ctr" rtl="0">
                        <a:defRPr lang="en-US" sz="700">
                          <a:ln w="9525" cap="flat">
                            <a:solidFill>
                              <a:schemeClr val="tx1">
                                <a:lumMod val="75000"/>
                                <a:lumOff val="25000"/>
                              </a:schemeClr>
                            </a:solidFill>
                          </a:ln>
                        </a:defRPr>
                      </a:pPr>
                      <a:t>[VALUE]</a:t>
                    </a:fld>
                    <a:endParaRPr lang="en-IN"/>
                  </a:p>
                </c:rich>
              </c:tx>
              <c:numFmt formatCode="#,##0.00" sourceLinked="0"/>
              <c:spPr>
                <a:noFill/>
                <a:ln>
                  <a:noFill/>
                </a:ln>
                <a:effectLst/>
              </c:spPr>
              <c:txPr>
                <a:bodyPr rot="0" spcFirstLastPara="1" vertOverflow="overflow" horzOverflow="overflow" vert="horz" wrap="square" anchor="ctr" anchorCtr="0">
                  <a:noAutofit/>
                </a:bodyPr>
                <a:lstStyle/>
                <a:p>
                  <a:pPr algn="ctr" rtl="0">
                    <a:defRPr lang="en-US" sz="7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4528935185185182E-2"/>
                      <c:h val="7.59017094017094E-2"/>
                    </c:manualLayout>
                  </c15:layout>
                  <c15:dlblFieldTable/>
                  <c15:showDataLabelsRange val="0"/>
                </c:ext>
                <c:ext xmlns:c16="http://schemas.microsoft.com/office/drawing/2014/chart" uri="{C3380CC4-5D6E-409C-BE32-E72D297353CC}">
                  <c16:uniqueId val="{00000006-DDB2-4AD6-851B-19E716EB91BE}"/>
                </c:ext>
              </c:extLst>
            </c:dLbl>
            <c:dLbl>
              <c:idx val="1"/>
              <c:tx>
                <c:rich>
                  <a:bodyPr rot="0" spcFirstLastPara="1" vertOverflow="overflow" horzOverflow="overflow" vert="horz" wrap="square" anchor="ctr" anchorCtr="0">
                    <a:noAutofit/>
                  </a:bodyPr>
                  <a:lstStyle/>
                  <a:p>
                    <a:pPr algn="ctr" rtl="0">
                      <a:defRPr lang="en-US" sz="7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fld id="{FEAABD49-A01D-4882-BADA-13DB2F5439AD}" type="VALUE">
                      <a:rPr lang="en-US" sz="7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rPr>
                      <a:pPr algn="ctr" rtl="0">
                        <a:defRPr lang="en-US" sz="700">
                          <a:ln w="9525" cap="flat">
                            <a:solidFill>
                              <a:schemeClr val="tx1">
                                <a:lumMod val="75000"/>
                                <a:lumOff val="25000"/>
                              </a:schemeClr>
                            </a:solidFill>
                          </a:ln>
                        </a:defRPr>
                      </a:pPr>
                      <a:t>[VALUE]</a:t>
                    </a:fld>
                    <a:endParaRPr lang="en-IN"/>
                  </a:p>
                </c:rich>
              </c:tx>
              <c:numFmt formatCode="#,##0.00" sourceLinked="0"/>
              <c:spPr>
                <a:noFill/>
                <a:ln>
                  <a:noFill/>
                </a:ln>
                <a:effectLst/>
              </c:spPr>
              <c:txPr>
                <a:bodyPr rot="0" spcFirstLastPara="1" vertOverflow="overflow" horzOverflow="overflow" vert="horz" wrap="square" anchor="ctr" anchorCtr="0">
                  <a:noAutofit/>
                </a:bodyPr>
                <a:lstStyle/>
                <a:p>
                  <a:pPr algn="ctr" rtl="0">
                    <a:defRPr lang="en-US" sz="7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4528935185185182E-2"/>
                      <c:h val="7.59017094017094E-2"/>
                    </c:manualLayout>
                  </c15:layout>
                  <c15:dlblFieldTable/>
                  <c15:showDataLabelsRange val="0"/>
                </c:ext>
                <c:ext xmlns:c16="http://schemas.microsoft.com/office/drawing/2014/chart" uri="{C3380CC4-5D6E-409C-BE32-E72D297353CC}">
                  <c16:uniqueId val="{00000007-DDB2-4AD6-851B-19E716EB91BE}"/>
                </c:ext>
              </c:extLst>
            </c:dLbl>
            <c:dLbl>
              <c:idx val="2"/>
              <c:layout>
                <c:manualLayout>
                  <c:x val="-5.3895982327284637E-17"/>
                  <c:y val="0"/>
                </c:manualLayout>
              </c:layout>
              <c:numFmt formatCode="#,##0.00" sourceLinked="0"/>
              <c:spPr>
                <a:noFill/>
                <a:ln>
                  <a:noFill/>
                </a:ln>
                <a:effectLst/>
              </c:spPr>
              <c:txPr>
                <a:bodyPr rot="0" spcFirstLastPara="1" vertOverflow="overflow" horzOverflow="overflow" vert="horz" wrap="square" anchor="ctr" anchorCtr="0">
                  <a:noAutofit/>
                </a:bodyPr>
                <a:lstStyle/>
                <a:p>
                  <a:pPr algn="ctr">
                    <a:defRPr lang="en-US" sz="7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4528935185185182E-2"/>
                      <c:h val="7.59017094017094E-2"/>
                    </c:manualLayout>
                  </c15:layout>
                </c:ext>
                <c:ext xmlns:c16="http://schemas.microsoft.com/office/drawing/2014/chart" uri="{C3380CC4-5D6E-409C-BE32-E72D297353CC}">
                  <c16:uniqueId val="{00000005-DDB2-4AD6-851B-19E716EB91BE}"/>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
                      <c:h val="0"/>
                    </c:manualLayout>
                  </c15:layout>
                </c:ext>
                <c:ext xmlns:c16="http://schemas.microsoft.com/office/drawing/2014/chart" uri="{C3380CC4-5D6E-409C-BE32-E72D297353CC}">
                  <c16:uniqueId val="{00000008-DDB2-4AD6-851B-19E716EB91BE}"/>
                </c:ext>
              </c:extLst>
            </c:dLbl>
            <c:dLbl>
              <c:idx val="4"/>
              <c:numFmt formatCode="#,##0.00" sourceLinked="0"/>
              <c:spPr>
                <a:noFill/>
                <a:ln>
                  <a:noFill/>
                </a:ln>
                <a:effectLst/>
              </c:spPr>
              <c:txPr>
                <a:bodyPr rot="0" spcFirstLastPara="1" vertOverflow="overflow" horzOverflow="overflow" vert="horz" wrap="square" anchor="ctr" anchorCtr="0">
                  <a:noAutofit/>
                </a:bodyPr>
                <a:lstStyle/>
                <a:p>
                  <a:pPr algn="ctr" rtl="0">
                    <a:defRPr lang="en-US" sz="7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4528935185185182E-2"/>
                      <c:h val="7.59017094017094E-2"/>
                    </c:manualLayout>
                  </c15:layout>
                </c:ext>
                <c:ext xmlns:c16="http://schemas.microsoft.com/office/drawing/2014/chart" uri="{C3380CC4-5D6E-409C-BE32-E72D297353CC}">
                  <c16:uniqueId val="{00000009-DDB2-4AD6-851B-19E716EB91BE}"/>
                </c:ext>
              </c:extLst>
            </c:dLbl>
            <c:numFmt formatCode="#,##0.00" sourceLinked="0"/>
            <c:spPr>
              <a:noFill/>
              <a:ln>
                <a:noFill/>
              </a:ln>
              <a:effectLst/>
            </c:spPr>
            <c:txPr>
              <a:bodyPr rot="0" spcFirstLastPara="1" vertOverflow="overflow" horzOverflow="overflow" vert="horz" wrap="square" anchor="ctr" anchorCtr="0">
                <a:noAutofit/>
              </a:bodyPr>
              <a:lstStyle/>
              <a:p>
                <a:pPr algn="ct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KPI!$J$5:$J$9</c:f>
              <c:strCache>
                <c:ptCount val="5"/>
                <c:pt idx="0">
                  <c:v>36</c:v>
                </c:pt>
                <c:pt idx="1">
                  <c:v>37</c:v>
                </c:pt>
                <c:pt idx="2">
                  <c:v>38</c:v>
                </c:pt>
                <c:pt idx="3">
                  <c:v>39</c:v>
                </c:pt>
                <c:pt idx="4">
                  <c:v>40</c:v>
                </c:pt>
              </c:strCache>
            </c:strRef>
          </c:cat>
          <c:val>
            <c:numRef>
              <c:f>KPI!$M$5:$M$9</c:f>
              <c:numCache>
                <c:formatCode>General</c:formatCode>
                <c:ptCount val="5"/>
                <c:pt idx="0">
                  <c:v>4.5</c:v>
                </c:pt>
                <c:pt idx="1">
                  <c:v>4.3</c:v>
                </c:pt>
                <c:pt idx="2">
                  <c:v>4.333333333333333</c:v>
                </c:pt>
                <c:pt idx="4">
                  <c:v>4.4000000000000004</c:v>
                </c:pt>
              </c:numCache>
            </c:numRef>
          </c:val>
          <c:extLst>
            <c:ext xmlns:c16="http://schemas.microsoft.com/office/drawing/2014/chart" uri="{C3380CC4-5D6E-409C-BE32-E72D297353CC}">
              <c16:uniqueId val="{00000004-DDB2-4AD6-851B-19E716EB91BE}"/>
            </c:ext>
          </c:extLst>
        </c:ser>
        <c:dLbls>
          <c:showLegendKey val="0"/>
          <c:showVal val="0"/>
          <c:showCatName val="0"/>
          <c:showSerName val="0"/>
          <c:showPercent val="0"/>
          <c:showBubbleSize val="0"/>
        </c:dLbls>
        <c:gapWidth val="217"/>
        <c:overlap val="-14"/>
        <c:axId val="1041943391"/>
        <c:axId val="1041942559"/>
      </c:barChart>
      <c:catAx>
        <c:axId val="104194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ln w="8890">
                  <a:solidFill>
                    <a:schemeClr val="tx1">
                      <a:lumMod val="75000"/>
                      <a:lumOff val="25000"/>
                    </a:schemeClr>
                  </a:solidFill>
                </a:ln>
                <a:solidFill>
                  <a:schemeClr val="tx1">
                    <a:lumMod val="75000"/>
                    <a:lumOff val="25000"/>
                  </a:schemeClr>
                </a:solidFill>
                <a:latin typeface="+mn-lt"/>
                <a:ea typeface="+mn-ea"/>
                <a:cs typeface="+mn-cs"/>
              </a:defRPr>
            </a:pPr>
            <a:endParaRPr lang="en-US"/>
          </a:p>
        </c:txPr>
        <c:crossAx val="1041942559"/>
        <c:crosses val="autoZero"/>
        <c:auto val="1"/>
        <c:lblAlgn val="ctr"/>
        <c:lblOffset val="100"/>
        <c:noMultiLvlLbl val="0"/>
      </c:catAx>
      <c:valAx>
        <c:axId val="1041942559"/>
        <c:scaling>
          <c:orientation val="minMax"/>
        </c:scaling>
        <c:delete val="1"/>
        <c:axPos val="l"/>
        <c:numFmt formatCode="General" sourceLinked="1"/>
        <c:majorTickMark val="none"/>
        <c:minorTickMark val="none"/>
        <c:tickLblPos val="nextTo"/>
        <c:crossAx val="104194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lumMod val="15000"/>
          <a:lumOff val="85000"/>
        </a:schemeClr>
      </a:solidFill>
      <a:round/>
    </a:ln>
    <a:effectLst/>
  </c:spPr>
  <c:txPr>
    <a:bodyPr/>
    <a:lstStyle/>
    <a:p>
      <a:pPr>
        <a:defRPr>
          <a:ln>
            <a:solidFill>
              <a:srgbClr val="E0E0E0"/>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[Dashboard_Cafeteria_Rating.xlsx]KPI!Average of Sentiment</c:name>
    <c:fmtId val="6"/>
  </c:pivotSource>
  <c:chart>
    <c:title>
      <c:tx>
        <c:rich>
          <a:bodyPr rot="0" spcFirstLastPara="1" vertOverflow="ellipsis" vert="horz" wrap="square" anchor="ctr" anchorCtr="1"/>
          <a:lstStyle/>
          <a:p>
            <a:pPr algn="ctr" rtl="0">
              <a:defRPr lang="en-US" sz="1080" b="0" i="0" u="none" strike="noStrike" kern="1200" spc="0" baseline="0">
                <a:ln w="9525" cap="flat">
                  <a:solidFill>
                    <a:schemeClr val="tx1">
                      <a:lumMod val="75000"/>
                      <a:lumOff val="25000"/>
                    </a:schemeClr>
                  </a:solidFill>
                </a:ln>
                <a:solidFill>
                  <a:schemeClr val="tx1">
                    <a:lumMod val="75000"/>
                    <a:lumOff val="25000"/>
                  </a:schemeClr>
                </a:solidFill>
                <a:latin typeface="+mn-lt"/>
                <a:ea typeface="+mn-ea"/>
                <a:cs typeface="+mn-cs"/>
              </a:defRPr>
            </a:pPr>
            <a:r>
              <a:rPr lang="en-IN" sz="1600"/>
              <a:t>Average of Sentiment</a:t>
            </a:r>
          </a:p>
          <a:p>
            <a:pPr algn="ctr" rtl="0">
              <a:defRPr/>
            </a:pPr>
            <a:endParaRPr lang="en-IN"/>
          </a:p>
        </c:rich>
      </c:tx>
      <c:overlay val="0"/>
      <c:spPr>
        <a:noFill/>
        <a:ln>
          <a:noFill/>
        </a:ln>
        <a:effectLst/>
      </c:spPr>
      <c:txPr>
        <a:bodyPr rot="0" spcFirstLastPara="1" vertOverflow="ellipsis" vert="horz" wrap="square" anchor="ctr" anchorCtr="1"/>
        <a:lstStyle/>
        <a:p>
          <a:pPr algn="ctr" rtl="0">
            <a:defRPr lang="en-US" sz="1080" b="0" i="0" u="none" strike="noStrike" kern="1200" spc="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rgbClr val="403572"/>
          </a:solidFill>
          <a:ln w="19050">
            <a:solidFill>
              <a:schemeClr val="lt1"/>
            </a:solidFill>
          </a:ln>
          <a:effectLst/>
        </c:spPr>
        <c:dLbl>
          <c:idx val="0"/>
          <c:layout>
            <c:manualLayout>
              <c:x val="6.761574074074074E-2"/>
              <c:y val="-7.055555555555555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rgbClr val="B8A7E0"/>
          </a:solidFill>
          <a:ln w="19050">
            <a:noFill/>
          </a:ln>
          <a:effectLst/>
        </c:spPr>
        <c:dLbl>
          <c:idx val="0"/>
          <c:layout>
            <c:manualLayout>
              <c:x val="9.7013888888888775E-2"/>
              <c:y val="5.427350427350427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rgbClr val="6C5DD3"/>
          </a:solidFill>
          <a:ln w="19050">
            <a:solidFill>
              <a:schemeClr val="lt1"/>
            </a:solidFill>
          </a:ln>
          <a:effectLst/>
        </c:spPr>
        <c:dLbl>
          <c:idx val="0"/>
          <c:layout>
            <c:manualLayout>
              <c:x val="-8.819444444444445E-2"/>
              <c:y val="-1.62820512820512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KPI!$P$3</c:f>
              <c:strCache>
                <c:ptCount val="1"/>
                <c:pt idx="0">
                  <c:v>Total</c:v>
                </c:pt>
              </c:strCache>
            </c:strRef>
          </c:tx>
          <c:dPt>
            <c:idx val="0"/>
            <c:bubble3D val="0"/>
            <c:spPr>
              <a:solidFill>
                <a:srgbClr val="403572"/>
              </a:solidFill>
              <a:ln w="19050">
                <a:solidFill>
                  <a:schemeClr val="lt1"/>
                </a:solidFill>
              </a:ln>
              <a:effectLst/>
            </c:spPr>
            <c:extLst>
              <c:ext xmlns:c16="http://schemas.microsoft.com/office/drawing/2014/chart" uri="{C3380CC4-5D6E-409C-BE32-E72D297353CC}">
                <c16:uniqueId val="{00000001-3F02-4010-9456-03135E32CA45}"/>
              </c:ext>
            </c:extLst>
          </c:dPt>
          <c:dPt>
            <c:idx val="1"/>
            <c:bubble3D val="0"/>
            <c:spPr>
              <a:solidFill>
                <a:srgbClr val="B8A7E0"/>
              </a:solidFill>
              <a:ln w="19050">
                <a:noFill/>
              </a:ln>
              <a:effectLst/>
            </c:spPr>
            <c:extLst>
              <c:ext xmlns:c16="http://schemas.microsoft.com/office/drawing/2014/chart" uri="{C3380CC4-5D6E-409C-BE32-E72D297353CC}">
                <c16:uniqueId val="{00000003-3F02-4010-9456-03135E32CA45}"/>
              </c:ext>
            </c:extLst>
          </c:dPt>
          <c:dPt>
            <c:idx val="2"/>
            <c:bubble3D val="0"/>
            <c:spPr>
              <a:solidFill>
                <a:srgbClr val="6C5DD3"/>
              </a:solidFill>
              <a:ln w="19050">
                <a:solidFill>
                  <a:schemeClr val="lt1"/>
                </a:solidFill>
              </a:ln>
              <a:effectLst/>
            </c:spPr>
            <c:extLst>
              <c:ext xmlns:c16="http://schemas.microsoft.com/office/drawing/2014/chart" uri="{C3380CC4-5D6E-409C-BE32-E72D297353CC}">
                <c16:uniqueId val="{00000005-3F02-4010-9456-03135E32CA45}"/>
              </c:ext>
            </c:extLst>
          </c:dPt>
          <c:dLbls>
            <c:dLbl>
              <c:idx val="0"/>
              <c:layout>
                <c:manualLayout>
                  <c:x val="6.761574074074074E-2"/>
                  <c:y val="-7.0555555555555552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3F02-4010-9456-03135E32CA45}"/>
                </c:ext>
              </c:extLst>
            </c:dLbl>
            <c:dLbl>
              <c:idx val="1"/>
              <c:layout>
                <c:manualLayout>
                  <c:x val="9.7013888888888775E-2"/>
                  <c:y val="5.4273504273504275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F02-4010-9456-03135E32CA45}"/>
                </c:ext>
              </c:extLst>
            </c:dLbl>
            <c:dLbl>
              <c:idx val="2"/>
              <c:layout>
                <c:manualLayout>
                  <c:x val="-8.819444444444445E-2"/>
                  <c:y val="-1.628205128205128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3F02-4010-9456-03135E32CA45}"/>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extLst>
          </c:dLbls>
          <c:cat>
            <c:strRef>
              <c:f>KPI!$O$4:$O$6</c:f>
              <c:strCache>
                <c:ptCount val="3"/>
                <c:pt idx="0">
                  <c:v>Negative</c:v>
                </c:pt>
                <c:pt idx="1">
                  <c:v>Neutral</c:v>
                </c:pt>
                <c:pt idx="2">
                  <c:v>Positive</c:v>
                </c:pt>
              </c:strCache>
            </c:strRef>
          </c:cat>
          <c:val>
            <c:numRef>
              <c:f>KPI!$P$4:$P$6</c:f>
              <c:numCache>
                <c:formatCode>General</c:formatCode>
                <c:ptCount val="3"/>
                <c:pt idx="0">
                  <c:v>2.8783132530120481</c:v>
                </c:pt>
                <c:pt idx="1">
                  <c:v>3</c:v>
                </c:pt>
                <c:pt idx="2">
                  <c:v>4.4000000000000004</c:v>
                </c:pt>
              </c:numCache>
            </c:numRef>
          </c:val>
          <c:extLst>
            <c:ext xmlns:c16="http://schemas.microsoft.com/office/drawing/2014/chart" uri="{C3380CC4-5D6E-409C-BE32-E72D297353CC}">
              <c16:uniqueId val="{00000006-3F02-4010-9456-03135E32CA45}"/>
            </c:ext>
          </c:extLst>
        </c:ser>
        <c:dLbls>
          <c:showLegendKey val="0"/>
          <c:showVal val="0"/>
          <c:showCatName val="0"/>
          <c:showSerName val="0"/>
          <c:showPercent val="0"/>
          <c:showBubbleSize val="0"/>
          <c:showLeaderLines val="0"/>
        </c:dLbls>
        <c:firstSliceAng val="2"/>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[Dashboard_Cafeteria_Rating.xlsx]KPI!Overall feedback distribution</c:name>
    <c:fmtId val="3"/>
  </c:pivotSource>
  <c:chart>
    <c:title>
      <c:tx>
        <c:rich>
          <a:bodyPr rot="0" spcFirstLastPara="1" vertOverflow="ellipsis" vert="horz" wrap="square" anchor="ctr" anchorCtr="1"/>
          <a:lstStyle/>
          <a:p>
            <a:pPr algn="ctr" rtl="0">
              <a:defRPr lang="en-US" sz="1600" b="0" i="0" u="none" strike="noStrike" kern="1200" cap="none" spc="0" baseline="0">
                <a:ln w="0"/>
                <a:solidFill>
                  <a:srgbClr val="333333"/>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r>
              <a:rPr lang="en-US" sz="1600" b="0" i="0" u="none" strike="noStrike" kern="1200" cap="none" spc="0" baseline="0">
                <a:ln w="0"/>
                <a:solidFill>
                  <a:srgbClr val="333333"/>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rPr>
              <a:t>Overall Feedback Distribution</a:t>
            </a:r>
          </a:p>
          <a:p>
            <a:pPr algn="ctr" rtl="0">
              <a:defRPr lang="en-US" sz="1600" cap="none">
                <a:ln w="0"/>
                <a:solidFill>
                  <a:srgbClr val="333333"/>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defRPr>
            </a:pPr>
            <a:endParaRPr lang="en-US" sz="1600" b="0" i="0" u="none" strike="noStrike" kern="1200" cap="none" spc="0" baseline="0">
              <a:ln w="0"/>
              <a:solidFill>
                <a:srgbClr val="333333"/>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endParaRPr>
          </a:p>
        </c:rich>
      </c:tx>
      <c:layout>
        <c:manualLayout>
          <c:xMode val="edge"/>
          <c:yMode val="edge"/>
          <c:x val="0.16299244684878939"/>
          <c:y val="2.1825553055868016E-2"/>
        </c:manualLayout>
      </c:layout>
      <c:overlay val="0"/>
      <c:spPr>
        <a:noFill/>
        <a:ln>
          <a:noFill/>
        </a:ln>
        <a:effectLst/>
      </c:spPr>
      <c:txPr>
        <a:bodyPr rot="0" spcFirstLastPara="1" vertOverflow="ellipsis" vert="horz" wrap="square" anchor="ctr" anchorCtr="1"/>
        <a:lstStyle/>
        <a:p>
          <a:pPr algn="ctr" rtl="0">
            <a:defRPr lang="en-US" sz="1600" b="0" i="0" u="none" strike="noStrike" kern="1200" cap="none" spc="0" baseline="0">
              <a:ln w="0"/>
              <a:solidFill>
                <a:srgbClr val="333333"/>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03572"/>
          </a:solidFill>
          <a:ln w="25400">
            <a:noFill/>
          </a:ln>
          <a:effectLst/>
          <a:sp3d/>
        </c:spPr>
        <c:dLbl>
          <c:idx val="0"/>
          <c:spPr>
            <a:noFill/>
            <a:ln>
              <a:noFill/>
            </a:ln>
            <a:effectLst/>
          </c:spPr>
          <c:txPr>
            <a:bodyPr rot="0" spcFirstLastPara="1" vertOverflow="ellipsis" vert="horz" wrap="square" lIns="38100" tIns="19050" rIns="38100" bIns="19050" anchor="ctr" anchorCtr="0">
              <a:spAutoFit/>
            </a:bodyPr>
            <a:lstStyle/>
            <a:p>
              <a:pPr algn="ctr">
                <a:defRPr lang="en-US" sz="7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
      </c:pivotFmt>
      <c:pivotFmt>
        <c:idx val="7"/>
        <c:spPr>
          <a:solidFill>
            <a:srgbClr val="B8A7E0"/>
          </a:solidFill>
          <a:ln w="25400">
            <a:solidFill>
              <a:schemeClr val="lt1"/>
            </a:solidFill>
          </a:ln>
          <a:effectLst/>
          <a:sp3d contourW="25400">
            <a:contourClr>
              <a:schemeClr val="lt1"/>
            </a:contourClr>
          </a:sp3d>
        </c:spPr>
      </c:pivotFmt>
      <c:pivotFmt>
        <c:idx val="8"/>
        <c:spPr>
          <a:solidFill>
            <a:srgbClr val="6C5DD3"/>
          </a:solidFill>
          <a:ln w="25400">
            <a:solidFill>
              <a:schemeClr val="lt1"/>
            </a:solidFill>
          </a:ln>
          <a:effectLst/>
          <a:sp3d contourW="25400">
            <a:contourClr>
              <a:schemeClr val="lt1"/>
            </a:contourClr>
          </a:sp3d>
        </c:spPr>
      </c:pivotFmt>
    </c:pivotFmts>
    <c:view3D>
      <c:rotX val="30"/>
      <c:rotY val="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61574074074073"/>
          <c:y val="0.2623628205128205"/>
          <c:w val="0.61631944444444442"/>
          <c:h val="0.59822980460775732"/>
        </c:manualLayout>
      </c:layout>
      <c:pie3DChart>
        <c:varyColors val="1"/>
        <c:ser>
          <c:idx val="0"/>
          <c:order val="0"/>
          <c:tx>
            <c:strRef>
              <c:f>KPI!$S$3</c:f>
              <c:strCache>
                <c:ptCount val="1"/>
                <c:pt idx="0">
                  <c:v>Total</c:v>
                </c:pt>
              </c:strCache>
            </c:strRef>
          </c:tx>
          <c:explosion val="2"/>
          <c:dPt>
            <c:idx val="0"/>
            <c:bubble3D val="0"/>
            <c:spPr>
              <a:solidFill>
                <a:srgbClr val="403572"/>
              </a:solidFill>
              <a:ln w="25400">
                <a:noFill/>
              </a:ln>
              <a:effectLst/>
              <a:sp3d/>
            </c:spPr>
            <c:extLst>
              <c:ext xmlns:c16="http://schemas.microsoft.com/office/drawing/2014/chart" uri="{C3380CC4-5D6E-409C-BE32-E72D297353CC}">
                <c16:uniqueId val="{00000008-C0C2-4468-9F4D-C0A50074B1BC}"/>
              </c:ext>
            </c:extLst>
          </c:dPt>
          <c:dPt>
            <c:idx val="1"/>
            <c:bubble3D val="0"/>
            <c:spPr>
              <a:solidFill>
                <a:srgbClr val="B8A7E0"/>
              </a:solidFill>
              <a:ln w="25400">
                <a:solidFill>
                  <a:schemeClr val="lt1"/>
                </a:solidFill>
              </a:ln>
              <a:effectLst/>
              <a:sp3d contourW="25400">
                <a:contourClr>
                  <a:schemeClr val="lt1"/>
                </a:contourClr>
              </a:sp3d>
            </c:spPr>
            <c:extLst>
              <c:ext xmlns:c16="http://schemas.microsoft.com/office/drawing/2014/chart" uri="{C3380CC4-5D6E-409C-BE32-E72D297353CC}">
                <c16:uniqueId val="{00000003-F222-4F78-865B-371D1CC56B66}"/>
              </c:ext>
            </c:extLst>
          </c:dPt>
          <c:dPt>
            <c:idx val="2"/>
            <c:bubble3D val="0"/>
            <c:spPr>
              <a:solidFill>
                <a:srgbClr val="6C5DD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222-4F78-865B-371D1CC56B66}"/>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ln w="9525" cap="flat">
                      <a:solidFill>
                        <a:schemeClr val="tx1">
                          <a:lumMod val="75000"/>
                          <a:lumOff val="2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KPI!$R$4:$R$6</c:f>
              <c:strCache>
                <c:ptCount val="3"/>
                <c:pt idx="0">
                  <c:v>Negative</c:v>
                </c:pt>
                <c:pt idx="1">
                  <c:v>Neutral</c:v>
                </c:pt>
                <c:pt idx="2">
                  <c:v>Positive</c:v>
                </c:pt>
              </c:strCache>
            </c:strRef>
          </c:cat>
          <c:val>
            <c:numRef>
              <c:f>KPI!$S$4:$S$6</c:f>
              <c:numCache>
                <c:formatCode>General</c:formatCode>
                <c:ptCount val="3"/>
                <c:pt idx="0">
                  <c:v>83</c:v>
                </c:pt>
                <c:pt idx="1">
                  <c:v>6</c:v>
                </c:pt>
                <c:pt idx="2">
                  <c:v>11</c:v>
                </c:pt>
              </c:numCache>
            </c:numRef>
          </c:val>
          <c:extLst>
            <c:ext xmlns:c16="http://schemas.microsoft.com/office/drawing/2014/chart" uri="{C3380CC4-5D6E-409C-BE32-E72D297353CC}">
              <c16:uniqueId val="{00000006-C0C2-4468-9F4D-C0A50074B1B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2</xdr:col>
      <xdr:colOff>68580</xdr:colOff>
      <xdr:row>13</xdr:row>
      <xdr:rowOff>45720</xdr:rowOff>
    </xdr:from>
    <xdr:ext cx="1330814" cy="314866"/>
    <xdr:sp macro="" textlink="">
      <xdr:nvSpPr>
        <xdr:cNvPr id="2" name="TextBox 1">
          <a:extLst>
            <a:ext uri="{FF2B5EF4-FFF2-40B4-BE49-F238E27FC236}">
              <a16:creationId xmlns:a16="http://schemas.microsoft.com/office/drawing/2014/main" id="{B75B569F-BEFD-4AB6-A376-96ADF413AFF9}"/>
            </a:ext>
          </a:extLst>
        </xdr:cNvPr>
        <xdr:cNvSpPr txBox="1"/>
      </xdr:nvSpPr>
      <xdr:spPr>
        <a:xfrm>
          <a:off x="2316480" y="2423160"/>
          <a:ext cx="1330814" cy="314866"/>
        </a:xfrm>
        <a:prstGeom prst="rect">
          <a:avLst/>
        </a:prstGeom>
        <a:solidFill>
          <a:srgbClr val="FF0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solidFill>
                <a:schemeClr val="bg1"/>
              </a:solidFill>
            </a:rPr>
            <a:t>Negative</a:t>
          </a:r>
          <a:r>
            <a:rPr lang="en-IN" sz="1100" b="1" baseline="0">
              <a:solidFill>
                <a:schemeClr val="bg1"/>
              </a:solidFill>
            </a:rPr>
            <a:t> Feedback</a:t>
          </a:r>
          <a:r>
            <a:rPr lang="en-IN" sz="1100" baseline="0"/>
            <a:t>:</a:t>
          </a:r>
        </a:p>
        <a:p>
          <a:endParaRPr lang="en-IN" sz="1100"/>
        </a:p>
      </xdr:txBody>
    </xdr:sp>
    <xdr:clientData/>
  </xdr:oneCellAnchor>
  <xdr:oneCellAnchor>
    <xdr:from>
      <xdr:col>3</xdr:col>
      <xdr:colOff>541020</xdr:colOff>
      <xdr:row>13</xdr:row>
      <xdr:rowOff>76200</xdr:rowOff>
    </xdr:from>
    <xdr:ext cx="1234440" cy="264560"/>
    <xdr:sp macro="" textlink="">
      <xdr:nvSpPr>
        <xdr:cNvPr id="3" name="TextBox 2">
          <a:extLst>
            <a:ext uri="{FF2B5EF4-FFF2-40B4-BE49-F238E27FC236}">
              <a16:creationId xmlns:a16="http://schemas.microsoft.com/office/drawing/2014/main" id="{B0BEA45D-9CD6-47E0-A439-79780F1652EF}"/>
            </a:ext>
          </a:extLst>
        </xdr:cNvPr>
        <xdr:cNvSpPr txBox="1"/>
      </xdr:nvSpPr>
      <xdr:spPr>
        <a:xfrm>
          <a:off x="3733800" y="2453640"/>
          <a:ext cx="1234440" cy="264560"/>
        </a:xfrm>
        <a:prstGeom prst="rect">
          <a:avLst/>
        </a:prstGeom>
        <a:solidFill>
          <a:srgbClr val="00B05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Positive</a:t>
          </a:r>
          <a:r>
            <a:rPr lang="en-IN" sz="1100" b="1" baseline="0"/>
            <a:t> Feedback</a:t>
          </a:r>
          <a:endParaRPr lang="en-IN" sz="1100" b="1"/>
        </a:p>
      </xdr:txBody>
    </xdr:sp>
    <xdr:clientData/>
  </xdr:oneCellAnchor>
  <xdr:oneCellAnchor>
    <xdr:from>
      <xdr:col>4</xdr:col>
      <xdr:colOff>556260</xdr:colOff>
      <xdr:row>13</xdr:row>
      <xdr:rowOff>91440</xdr:rowOff>
    </xdr:from>
    <xdr:ext cx="1214243" cy="264560"/>
    <xdr:sp macro="" textlink="">
      <xdr:nvSpPr>
        <xdr:cNvPr id="5" name="TextBox 4">
          <a:extLst>
            <a:ext uri="{FF2B5EF4-FFF2-40B4-BE49-F238E27FC236}">
              <a16:creationId xmlns:a16="http://schemas.microsoft.com/office/drawing/2014/main" id="{29334227-3E34-4372-A737-1C756D85DE90}"/>
            </a:ext>
          </a:extLst>
        </xdr:cNvPr>
        <xdr:cNvSpPr txBox="1"/>
      </xdr:nvSpPr>
      <xdr:spPr>
        <a:xfrm>
          <a:off x="5113020" y="2468880"/>
          <a:ext cx="1214243" cy="264560"/>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Neutral Feedback</a:t>
          </a:r>
        </a:p>
      </xdr:txBody>
    </xdr:sp>
    <xdr:clientData/>
  </xdr:oneCellAnchor>
  <xdr:twoCellAnchor>
    <xdr:from>
      <xdr:col>15</xdr:col>
      <xdr:colOff>1577340</xdr:colOff>
      <xdr:row>5</xdr:row>
      <xdr:rowOff>0</xdr:rowOff>
    </xdr:from>
    <xdr:to>
      <xdr:col>23</xdr:col>
      <xdr:colOff>0</xdr:colOff>
      <xdr:row>22</xdr:row>
      <xdr:rowOff>0</xdr:rowOff>
    </xdr:to>
    <xdr:graphicFrame macro="">
      <xdr:nvGraphicFramePr>
        <xdr:cNvPr id="14" name="Chart 13">
          <a:extLst>
            <a:ext uri="{FF2B5EF4-FFF2-40B4-BE49-F238E27FC236}">
              <a16:creationId xmlns:a16="http://schemas.microsoft.com/office/drawing/2014/main" id="{FCDCADCB-0FC0-497F-9C96-F1C78EADE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541020</xdr:colOff>
      <xdr:row>1</xdr:row>
      <xdr:rowOff>177120</xdr:rowOff>
    </xdr:to>
    <xdr:sp macro="" textlink="">
      <xdr:nvSpPr>
        <xdr:cNvPr id="2" name="Rectangle 1">
          <a:extLst>
            <a:ext uri="{FF2B5EF4-FFF2-40B4-BE49-F238E27FC236}">
              <a16:creationId xmlns:a16="http://schemas.microsoft.com/office/drawing/2014/main" id="{56BD2F62-EC0B-4ACB-9100-6B04F7E4C48C}"/>
            </a:ext>
          </a:extLst>
        </xdr:cNvPr>
        <xdr:cNvSpPr/>
      </xdr:nvSpPr>
      <xdr:spPr>
        <a:xfrm>
          <a:off x="0" y="0"/>
          <a:ext cx="10294620" cy="360000"/>
        </a:xfrm>
        <a:prstGeom prst="rect">
          <a:avLst/>
        </a:prstGeom>
        <a:solidFill>
          <a:srgbClr val="FFFFFF"/>
        </a:solidFill>
        <a:ln>
          <a:noFill/>
        </a:ln>
        <a:effectLst>
          <a:outerShdw blurRad="381000" dist="25400" dir="2700000" algn="tl" rotWithShape="0">
            <a:prstClr val="black">
              <a:alpha val="25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200" b="0">
              <a:solidFill>
                <a:srgbClr val="4A57D5"/>
              </a:solidFill>
              <a:latin typeface="Segoe UI Semibold" panose="020B0702040204020203" pitchFamily="34" charset="0"/>
              <a:ea typeface="Segoe UI Black" panose="020B0A02040204020203" pitchFamily="34" charset="0"/>
              <a:cs typeface="Segoe UI Semibold" panose="020B0702040204020203" pitchFamily="34" charset="0"/>
            </a:rPr>
            <a:t>CAFETERIA FEEDBACK DASHBOARD – 2025</a:t>
          </a:r>
          <a:endParaRPr lang="en-IN" sz="3200" b="0" cap="none" spc="0">
            <a:ln w="0"/>
            <a:solidFill>
              <a:srgbClr val="4A57D5"/>
            </a:solidFill>
            <a:effectLst>
              <a:outerShdw blurRad="38100" dist="19050" dir="2700000" algn="tl" rotWithShape="0">
                <a:schemeClr val="dk1">
                  <a:alpha val="40000"/>
                </a:schemeClr>
              </a:outerShdw>
            </a:effectLst>
            <a:latin typeface="Segoe UI Semibold" panose="020B0702040204020203" pitchFamily="34" charset="0"/>
            <a:ea typeface="Segoe UI Black" panose="020B0A02040204020203" pitchFamily="34" charset="0"/>
            <a:cs typeface="Segoe UI Semibold" panose="020B0702040204020203" pitchFamily="34" charset="0"/>
          </a:endParaRPr>
        </a:p>
        <a:p>
          <a:pPr algn="l"/>
          <a:r>
            <a:rPr lang="en-IN" sz="3200" b="0">
              <a:solidFill>
                <a:srgbClr val="4A57D5"/>
              </a:solidFill>
              <a:latin typeface="Segoe UI Semibold" panose="020B0702040204020203" pitchFamily="34" charset="0"/>
              <a:ea typeface="Segoe UI Black" panose="020B0A02040204020203" pitchFamily="34" charset="0"/>
              <a:cs typeface="Segoe UI Semibold" panose="020B0702040204020203" pitchFamily="34" charset="0"/>
            </a:rPr>
            <a:t>========================================================================================</a:t>
          </a:r>
        </a:p>
      </xdr:txBody>
    </xdr:sp>
    <xdr:clientData/>
  </xdr:twoCellAnchor>
  <xdr:twoCellAnchor>
    <xdr:from>
      <xdr:col>2</xdr:col>
      <xdr:colOff>419100</xdr:colOff>
      <xdr:row>19</xdr:row>
      <xdr:rowOff>60960</xdr:rowOff>
    </xdr:from>
    <xdr:to>
      <xdr:col>9</xdr:col>
      <xdr:colOff>471900</xdr:colOff>
      <xdr:row>32</xdr:row>
      <xdr:rowOff>23520</xdr:rowOff>
    </xdr:to>
    <xdr:graphicFrame macro="">
      <xdr:nvGraphicFramePr>
        <xdr:cNvPr id="16" name="Chart 15">
          <a:extLst>
            <a:ext uri="{FF2B5EF4-FFF2-40B4-BE49-F238E27FC236}">
              <a16:creationId xmlns:a16="http://schemas.microsoft.com/office/drawing/2014/main" id="{B4E79B97-E5FC-4A4A-9B9D-9A78717BC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495300</xdr:colOff>
      <xdr:row>6</xdr:row>
      <xdr:rowOff>76200</xdr:rowOff>
    </xdr:from>
    <xdr:to>
      <xdr:col>16</xdr:col>
      <xdr:colOff>548100</xdr:colOff>
      <xdr:row>19</xdr:row>
      <xdr:rowOff>38760</xdr:rowOff>
    </xdr:to>
    <xdr:graphicFrame macro="">
      <xdr:nvGraphicFramePr>
        <xdr:cNvPr id="17" name="Chart 16">
          <a:extLst>
            <a:ext uri="{FF2B5EF4-FFF2-40B4-BE49-F238E27FC236}">
              <a16:creationId xmlns:a16="http://schemas.microsoft.com/office/drawing/2014/main" id="{873A9765-C724-450D-90E5-8607F700F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419100</xdr:colOff>
      <xdr:row>6</xdr:row>
      <xdr:rowOff>76200</xdr:rowOff>
    </xdr:from>
    <xdr:to>
      <xdr:col>9</xdr:col>
      <xdr:colOff>471900</xdr:colOff>
      <xdr:row>19</xdr:row>
      <xdr:rowOff>38760</xdr:rowOff>
    </xdr:to>
    <xdr:graphicFrame macro="">
      <xdr:nvGraphicFramePr>
        <xdr:cNvPr id="18" name="Chart 17">
          <a:extLst>
            <a:ext uri="{FF2B5EF4-FFF2-40B4-BE49-F238E27FC236}">
              <a16:creationId xmlns:a16="http://schemas.microsoft.com/office/drawing/2014/main" id="{E2FA2605-9A67-449B-84EC-9F32191F0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495300</xdr:colOff>
      <xdr:row>19</xdr:row>
      <xdr:rowOff>60960</xdr:rowOff>
    </xdr:from>
    <xdr:to>
      <xdr:col>16</xdr:col>
      <xdr:colOff>548100</xdr:colOff>
      <xdr:row>32</xdr:row>
      <xdr:rowOff>23520</xdr:rowOff>
    </xdr:to>
    <xdr:graphicFrame macro="">
      <xdr:nvGraphicFramePr>
        <xdr:cNvPr id="19" name="Chart 18">
          <a:extLst>
            <a:ext uri="{FF2B5EF4-FFF2-40B4-BE49-F238E27FC236}">
              <a16:creationId xmlns:a16="http://schemas.microsoft.com/office/drawing/2014/main" id="{D00D181F-A461-46B0-85AC-531EB263B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12</xdr:row>
      <xdr:rowOff>15240</xdr:rowOff>
    </xdr:from>
    <xdr:to>
      <xdr:col>2</xdr:col>
      <xdr:colOff>388620</xdr:colOff>
      <xdr:row>18</xdr:row>
      <xdr:rowOff>148590</xdr:rowOff>
    </xdr:to>
    <mc:AlternateContent xmlns:mc="http://schemas.openxmlformats.org/markup-compatibility/2006" xmlns:a14="http://schemas.microsoft.com/office/drawing/2010/main">
      <mc:Choice Requires="a14">
        <xdr:graphicFrame macro="">
          <xdr:nvGraphicFramePr>
            <xdr:cNvPr id="20" name="Sentiment 1">
              <a:extLst>
                <a:ext uri="{FF2B5EF4-FFF2-40B4-BE49-F238E27FC236}">
                  <a16:creationId xmlns:a16="http://schemas.microsoft.com/office/drawing/2014/main" id="{8F4EB7EA-C23A-4514-B2BA-66C956070BE1}"/>
                </a:ext>
              </a:extLst>
            </xdr:cNvPr>
            <xdr:cNvGraphicFramePr/>
          </xdr:nvGraphicFramePr>
          <xdr:xfrm>
            <a:off x="0" y="0"/>
            <a:ext cx="0" cy="0"/>
          </xdr:xfrm>
          <a:graphic>
            <a:graphicData uri="http://schemas.microsoft.com/office/drawing/2010/slicer">
              <sle:slicer xmlns:sle="http://schemas.microsoft.com/office/drawing/2010/slicer" name="Sentiment 1"/>
            </a:graphicData>
          </a:graphic>
        </xdr:graphicFrame>
      </mc:Choice>
      <mc:Fallback xmlns="">
        <xdr:sp macro="" textlink="">
          <xdr:nvSpPr>
            <xdr:cNvPr id="0" name=""/>
            <xdr:cNvSpPr>
              <a:spLocks noTextEdit="1"/>
            </xdr:cNvSpPr>
          </xdr:nvSpPr>
          <xdr:spPr>
            <a:xfrm>
              <a:off x="0" y="2209800"/>
              <a:ext cx="1607820" cy="1230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6</xdr:row>
      <xdr:rowOff>91440</xdr:rowOff>
    </xdr:from>
    <xdr:to>
      <xdr:col>2</xdr:col>
      <xdr:colOff>396240</xdr:colOff>
      <xdr:row>11</xdr:row>
      <xdr:rowOff>175260</xdr:rowOff>
    </xdr:to>
    <mc:AlternateContent xmlns:mc="http://schemas.openxmlformats.org/markup-compatibility/2006" xmlns:a14="http://schemas.microsoft.com/office/drawing/2010/main">
      <mc:Choice Requires="a14">
        <xdr:graphicFrame macro="">
          <xdr:nvGraphicFramePr>
            <xdr:cNvPr id="21" name="Month 1">
              <a:extLst>
                <a:ext uri="{FF2B5EF4-FFF2-40B4-BE49-F238E27FC236}">
                  <a16:creationId xmlns:a16="http://schemas.microsoft.com/office/drawing/2014/main" id="{3A69E890-65AA-4C08-9004-EA6582FAB80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620" y="1188720"/>
              <a:ext cx="160782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19</xdr:row>
      <xdr:rowOff>0</xdr:rowOff>
    </xdr:from>
    <xdr:to>
      <xdr:col>2</xdr:col>
      <xdr:colOff>388620</xdr:colOff>
      <xdr:row>32</xdr:row>
      <xdr:rowOff>15240</xdr:rowOff>
    </xdr:to>
    <mc:AlternateContent xmlns:mc="http://schemas.openxmlformats.org/markup-compatibility/2006" xmlns:a14="http://schemas.microsoft.com/office/drawing/2010/main">
      <mc:Choice Requires="a14">
        <xdr:graphicFrame macro="">
          <xdr:nvGraphicFramePr>
            <xdr:cNvPr id="22" name="Date 1">
              <a:extLst>
                <a:ext uri="{FF2B5EF4-FFF2-40B4-BE49-F238E27FC236}">
                  <a16:creationId xmlns:a16="http://schemas.microsoft.com/office/drawing/2014/main" id="{D4CF2DCD-B40B-4966-8377-540F99246A97}"/>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30480" y="3474720"/>
              <a:ext cx="1577340" cy="2392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468630</xdr:colOff>
      <xdr:row>2</xdr:row>
      <xdr:rowOff>0</xdr:rowOff>
    </xdr:from>
    <xdr:to>
      <xdr:col>10</xdr:col>
      <xdr:colOff>82230</xdr:colOff>
      <xdr:row>6</xdr:row>
      <xdr:rowOff>60480</xdr:rowOff>
    </xdr:to>
    <xdr:sp macro="" textlink="">
      <xdr:nvSpPr>
        <xdr:cNvPr id="7" name="TextBox 6">
          <a:extLst>
            <a:ext uri="{FF2B5EF4-FFF2-40B4-BE49-F238E27FC236}">
              <a16:creationId xmlns:a16="http://schemas.microsoft.com/office/drawing/2014/main" id="{8855B76E-5906-4142-844B-66E758386CFB}"/>
            </a:ext>
          </a:extLst>
        </xdr:cNvPr>
        <xdr:cNvSpPr txBox="1"/>
      </xdr:nvSpPr>
      <xdr:spPr>
        <a:xfrm>
          <a:off x="4126230" y="365760"/>
          <a:ext cx="2052000" cy="792000"/>
        </a:xfrm>
        <a:prstGeom prst="rect">
          <a:avLst/>
        </a:prstGeom>
        <a:solidFill>
          <a:srgbClr val="FFFFFF"/>
        </a:solidFill>
        <a:ln w="15875">
          <a:solidFill>
            <a:srgbClr val="E0E0E0"/>
          </a:solidFill>
        </a:ln>
        <a:effectLst>
          <a:outerShdw blurRad="381000" dist="38100" dir="2700000" algn="tl" rotWithShape="0">
            <a:prstClr val="black">
              <a:alpha val="2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tIns="72000" rIns="90000" bIns="72000" rtlCol="0" anchor="ctr"/>
        <a:lstStyle/>
        <a:p>
          <a:pPr marL="0" indent="0" algn="ctr"/>
          <a:r>
            <a:rPr lang="en-IN" sz="1500" b="1">
              <a:solidFill>
                <a:srgbClr val="3F51B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rPr>
            <a:t>Positive Feedback</a:t>
          </a:r>
        </a:p>
        <a:p>
          <a:pPr marL="0" indent="0" algn="l"/>
          <a:r>
            <a:rPr lang="en-IN" sz="1400" b="1">
              <a:solidFill>
                <a:srgbClr val="3F51B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rPr>
            <a:t>             </a:t>
          </a:r>
          <a:r>
            <a:rPr lang="en-IN" sz="1800" b="1">
              <a:solidFill>
                <a:srgbClr val="3F51B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rPr>
            <a:t>11%</a:t>
          </a:r>
        </a:p>
        <a:p>
          <a:pPr marL="0" indent="0" algn="l"/>
          <a:endParaRPr lang="en-IN" sz="1400" b="1">
            <a:solidFill>
              <a:srgbClr val="4A57D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endParaRPr>
        </a:p>
        <a:p>
          <a:pPr marL="0" indent="0" algn="l"/>
          <a:endParaRPr lang="en-IN" sz="1400" b="1">
            <a:solidFill>
              <a:srgbClr val="4A57D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endParaRPr>
        </a:p>
        <a:p>
          <a:pPr marL="0" indent="0" algn="l"/>
          <a:endParaRPr lang="en-IN" sz="1400" b="1">
            <a:solidFill>
              <a:srgbClr val="4A57D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10</xdr:col>
      <xdr:colOff>93345</xdr:colOff>
      <xdr:row>2</xdr:row>
      <xdr:rowOff>0</xdr:rowOff>
    </xdr:from>
    <xdr:to>
      <xdr:col>13</xdr:col>
      <xdr:colOff>316545</xdr:colOff>
      <xdr:row>6</xdr:row>
      <xdr:rowOff>60480</xdr:rowOff>
    </xdr:to>
    <xdr:sp macro="" textlink="">
      <xdr:nvSpPr>
        <xdr:cNvPr id="8" name="TextBox 7">
          <a:extLst>
            <a:ext uri="{FF2B5EF4-FFF2-40B4-BE49-F238E27FC236}">
              <a16:creationId xmlns:a16="http://schemas.microsoft.com/office/drawing/2014/main" id="{6F7CFB63-898C-4E84-86A5-018005A998B8}"/>
            </a:ext>
          </a:extLst>
        </xdr:cNvPr>
        <xdr:cNvSpPr txBox="1"/>
      </xdr:nvSpPr>
      <xdr:spPr>
        <a:xfrm>
          <a:off x="6189345" y="365760"/>
          <a:ext cx="2052000" cy="792000"/>
        </a:xfrm>
        <a:prstGeom prst="rect">
          <a:avLst/>
        </a:prstGeom>
        <a:solidFill>
          <a:sysClr val="window" lastClr="FFFFFF"/>
        </a:solidFill>
        <a:ln w="15875">
          <a:solidFill>
            <a:srgbClr val="E0E0E0"/>
          </a:solidFill>
        </a:ln>
        <a:effectLst>
          <a:outerShdw blurRad="381000" dist="38100" dir="2700000" algn="tl" rotWithShape="0">
            <a:prstClr val="black">
              <a:alpha val="2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tIns="72000" rIns="90000" bIns="72000" rtlCol="0" anchor="ctr"/>
        <a:lstStyle/>
        <a:p>
          <a:pPr marL="0" indent="0" algn="ctr"/>
          <a:r>
            <a:rPr lang="en-IN" sz="1500" b="1">
              <a:solidFill>
                <a:srgbClr val="3F51B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rPr>
            <a:t>Neutral Feedback</a:t>
          </a:r>
        </a:p>
        <a:p>
          <a:pPr marL="0" indent="0" algn="l"/>
          <a:r>
            <a:rPr lang="en-IN" sz="1400" b="1">
              <a:solidFill>
                <a:srgbClr val="4A57D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rPr>
            <a:t>            </a:t>
          </a:r>
          <a:r>
            <a:rPr lang="en-IN" sz="1800" b="1">
              <a:solidFill>
                <a:srgbClr val="3F51B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rPr>
            <a:t>  6%</a:t>
          </a:r>
        </a:p>
        <a:p>
          <a:pPr marL="0" indent="0" algn="l"/>
          <a:endParaRPr lang="en-IN" sz="1400" b="1">
            <a:solidFill>
              <a:srgbClr val="4A57D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endParaRPr>
        </a:p>
        <a:p>
          <a:pPr marL="0" indent="0" algn="l"/>
          <a:endParaRPr lang="en-IN" sz="1400" b="1">
            <a:solidFill>
              <a:srgbClr val="4A57D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endParaRPr>
        </a:p>
        <a:p>
          <a:pPr marL="0" indent="0" algn="l"/>
          <a:endParaRPr lang="en-IN" sz="1400" b="1">
            <a:solidFill>
              <a:srgbClr val="4A57D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13</xdr:col>
      <xdr:colOff>327660</xdr:colOff>
      <xdr:row>2</xdr:row>
      <xdr:rowOff>0</xdr:rowOff>
    </xdr:from>
    <xdr:to>
      <xdr:col>16</xdr:col>
      <xdr:colOff>550860</xdr:colOff>
      <xdr:row>6</xdr:row>
      <xdr:rowOff>60480</xdr:rowOff>
    </xdr:to>
    <xdr:sp macro="" textlink="">
      <xdr:nvSpPr>
        <xdr:cNvPr id="9" name="TextBox 8">
          <a:extLst>
            <a:ext uri="{FF2B5EF4-FFF2-40B4-BE49-F238E27FC236}">
              <a16:creationId xmlns:a16="http://schemas.microsoft.com/office/drawing/2014/main" id="{60F2CCFD-DFF1-43E5-BE5F-20E11C9AD468}"/>
            </a:ext>
          </a:extLst>
        </xdr:cNvPr>
        <xdr:cNvSpPr txBox="1"/>
      </xdr:nvSpPr>
      <xdr:spPr>
        <a:xfrm>
          <a:off x="8252460" y="365760"/>
          <a:ext cx="2052000" cy="792000"/>
        </a:xfrm>
        <a:prstGeom prst="rect">
          <a:avLst/>
        </a:prstGeom>
        <a:solidFill>
          <a:sysClr val="window" lastClr="FFFFFF"/>
        </a:solidFill>
        <a:ln w="15875">
          <a:solidFill>
            <a:srgbClr val="E0E0E0"/>
          </a:solidFill>
        </a:ln>
        <a:effectLst>
          <a:outerShdw blurRad="381000" dist="25400" dir="2700000" algn="tl" rotWithShape="0">
            <a:prstClr val="black">
              <a:alpha val="2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tIns="72000" rIns="90000" bIns="72000" rtlCol="0" anchor="ctr"/>
        <a:lstStyle/>
        <a:p>
          <a:pPr marL="0" indent="0" algn="ctr"/>
          <a:r>
            <a:rPr lang="en-IN" sz="1500" b="1">
              <a:solidFill>
                <a:srgbClr val="3F51B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rPr>
            <a:t>Negative Feedback</a:t>
          </a:r>
        </a:p>
        <a:p>
          <a:pPr marL="0" indent="0" algn="l"/>
          <a:r>
            <a:rPr lang="en-IN" sz="1400" b="1">
              <a:solidFill>
                <a:srgbClr val="4A57D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rPr>
            <a:t>               </a:t>
          </a:r>
          <a:r>
            <a:rPr lang="en-IN" sz="1800" b="1">
              <a:solidFill>
                <a:srgbClr val="3F51B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rPr>
            <a:t>83%</a:t>
          </a:r>
        </a:p>
        <a:p>
          <a:pPr marL="0" indent="0" algn="l"/>
          <a:endParaRPr lang="en-IN" sz="1400" b="1">
            <a:solidFill>
              <a:srgbClr val="4A57D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endParaRPr>
        </a:p>
        <a:p>
          <a:pPr marL="0" indent="0" algn="l"/>
          <a:endParaRPr lang="en-IN" sz="1400" b="1">
            <a:solidFill>
              <a:srgbClr val="4A57D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endParaRPr>
        </a:p>
        <a:p>
          <a:pPr marL="0" indent="0" algn="l"/>
          <a:endParaRPr lang="en-IN" sz="1400" b="1">
            <a:solidFill>
              <a:srgbClr val="4A57D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endParaRPr>
        </a:p>
        <a:p>
          <a:pPr marL="0" indent="0" algn="l"/>
          <a:endParaRPr lang="en-IN" sz="1400" b="1">
            <a:solidFill>
              <a:srgbClr val="4A57D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0</xdr:col>
      <xdr:colOff>0</xdr:colOff>
      <xdr:row>2</xdr:row>
      <xdr:rowOff>0</xdr:rowOff>
    </xdr:from>
    <xdr:to>
      <xdr:col>3</xdr:col>
      <xdr:colOff>223200</xdr:colOff>
      <xdr:row>6</xdr:row>
      <xdr:rowOff>60480</xdr:rowOff>
    </xdr:to>
    <xdr:sp macro="" textlink="">
      <xdr:nvSpPr>
        <xdr:cNvPr id="29" name="Rectangle 28">
          <a:extLst>
            <a:ext uri="{FF2B5EF4-FFF2-40B4-BE49-F238E27FC236}">
              <a16:creationId xmlns:a16="http://schemas.microsoft.com/office/drawing/2014/main" id="{E225050A-D1A4-4CA9-AF38-B95B0D6E9E51}"/>
            </a:ext>
          </a:extLst>
        </xdr:cNvPr>
        <xdr:cNvSpPr/>
      </xdr:nvSpPr>
      <xdr:spPr>
        <a:xfrm>
          <a:off x="0" y="365760"/>
          <a:ext cx="2052000" cy="792000"/>
        </a:xfrm>
        <a:prstGeom prst="rect">
          <a:avLst/>
        </a:prstGeom>
        <a:solidFill>
          <a:srgbClr val="FFFFFF"/>
        </a:solidFill>
        <a:ln w="15875">
          <a:solidFill>
            <a:srgbClr val="E0E0E0"/>
          </a:solidFill>
        </a:ln>
        <a:effectLst>
          <a:outerShdw blurRad="381000" dist="38100" dir="2700000" algn="tl" rotWithShape="0">
            <a:prstClr val="black">
              <a:alpha val="2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tIns="72000" rIns="90000" bIns="72000" rtlCol="0" anchor="ctr" anchorCtr="0"/>
        <a:lstStyle/>
        <a:p>
          <a:pPr marL="0" indent="0" algn="ctr"/>
          <a:r>
            <a:rPr lang="en-IN" sz="1500" b="1">
              <a:solidFill>
                <a:srgbClr val="3F51B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rPr>
            <a:t>Total Feedback</a:t>
          </a:r>
        </a:p>
        <a:p>
          <a:pPr marL="0" indent="0" algn="l"/>
          <a:r>
            <a:rPr lang="en-IN" sz="1400" b="1">
              <a:solidFill>
                <a:srgbClr val="4A57D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rPr>
            <a:t>             </a:t>
          </a:r>
          <a:r>
            <a:rPr lang="en-IN" sz="1800" b="1">
              <a:solidFill>
                <a:srgbClr val="3F51B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rPr>
            <a:t>100</a:t>
          </a:r>
        </a:p>
        <a:p>
          <a:pPr marL="0" indent="0" algn="l"/>
          <a:endParaRPr lang="en-IN" sz="1400" b="1">
            <a:solidFill>
              <a:srgbClr val="4A57D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3</xdr:col>
      <xdr:colOff>234315</xdr:colOff>
      <xdr:row>2</xdr:row>
      <xdr:rowOff>0</xdr:rowOff>
    </xdr:from>
    <xdr:to>
      <xdr:col>6</xdr:col>
      <xdr:colOff>457515</xdr:colOff>
      <xdr:row>6</xdr:row>
      <xdr:rowOff>60480</xdr:rowOff>
    </xdr:to>
    <xdr:sp macro="" textlink="">
      <xdr:nvSpPr>
        <xdr:cNvPr id="5" name="TextBox 4">
          <a:extLst>
            <a:ext uri="{FF2B5EF4-FFF2-40B4-BE49-F238E27FC236}">
              <a16:creationId xmlns:a16="http://schemas.microsoft.com/office/drawing/2014/main" id="{180A3B3E-7115-4C66-A995-DA01F15B4164}"/>
            </a:ext>
          </a:extLst>
        </xdr:cNvPr>
        <xdr:cNvSpPr txBox="1"/>
      </xdr:nvSpPr>
      <xdr:spPr>
        <a:xfrm>
          <a:off x="2063115" y="365760"/>
          <a:ext cx="2052000" cy="792000"/>
        </a:xfrm>
        <a:prstGeom prst="rect">
          <a:avLst/>
        </a:prstGeom>
        <a:solidFill>
          <a:srgbClr val="FFFFFF"/>
        </a:solidFill>
        <a:ln w="15875">
          <a:solidFill>
            <a:srgbClr val="E0E0E0"/>
          </a:solidFill>
        </a:ln>
        <a:effectLst>
          <a:outerShdw blurRad="381000" dist="38100" dir="2700000" algn="tl" rotWithShape="0">
            <a:prstClr val="black">
              <a:alpha val="2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tIns="72000" rIns="90000" bIns="72000" rtlCol="0" anchor="ctr"/>
        <a:lstStyle/>
        <a:p>
          <a:pPr marL="0" indent="0" algn="ctr"/>
          <a:r>
            <a:rPr lang="en-IN" sz="1500" b="1">
              <a:solidFill>
                <a:srgbClr val="3F51B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rPr>
            <a:t>Average</a:t>
          </a:r>
          <a:r>
            <a:rPr lang="en-IN" sz="1500" b="1" baseline="0">
              <a:solidFill>
                <a:srgbClr val="3F51B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rPr>
            <a:t> Rating</a:t>
          </a:r>
        </a:p>
        <a:p>
          <a:pPr marL="0" indent="0" algn="ctr"/>
          <a:r>
            <a:rPr lang="en-IN" sz="1800" b="1" baseline="0">
              <a:solidFill>
                <a:srgbClr val="3F51B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rPr>
            <a:t>3.053%</a:t>
          </a:r>
          <a:endParaRPr lang="en-IN" sz="1800" b="1">
            <a:solidFill>
              <a:srgbClr val="3F51B5"/>
            </a:solidFill>
            <a:effectLst>
              <a:outerShdw blurRad="50800" dist="50800" dir="5400000" algn="ctr" rotWithShape="0">
                <a:schemeClr val="bg1"/>
              </a:outerShdw>
            </a:effectLst>
            <a:latin typeface="Segoe UI Semibold" panose="020B0702040204020203" pitchFamily="34" charset="0"/>
            <a:ea typeface="+mn-ea"/>
            <a:cs typeface="Segoe UI Semibold" panose="020B07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41.663067013891" createdVersion="7" refreshedVersion="7" minRefreshableVersion="3" recordCount="100" xr:uid="{598AB2F3-EA64-4B54-BB59-C2CC3A0D6100}">
  <cacheSource type="worksheet">
    <worksheetSource ref="A1:L101" sheet="Dataset"/>
  </cacheSource>
  <cacheFields count="13">
    <cacheField name="Date" numFmtId="14">
      <sharedItems containsSemiMixedTypes="0" containsNonDate="0" containsDate="1" containsString="0" minDate="2025-09-01T00:00:00" maxDate="2025-10-02T00:00:00" count="30">
        <d v="2025-09-15T00:00:00"/>
        <d v="2025-10-01T00:00:00"/>
        <d v="2025-09-03T00:00:00"/>
        <d v="2025-09-10T00:00:00"/>
        <d v="2025-09-14T00:00:00"/>
        <d v="2025-09-29T00:00:00"/>
        <d v="2025-09-11T00:00:00"/>
        <d v="2025-09-17T00:00:00"/>
        <d v="2025-09-12T00:00:00"/>
        <d v="2025-09-22T00:00:00"/>
        <d v="2025-09-18T00:00:00"/>
        <d v="2025-09-28T00:00:00"/>
        <d v="2025-09-27T00:00:00"/>
        <d v="2025-09-13T00:00:00"/>
        <d v="2025-09-20T00:00:00"/>
        <d v="2025-09-23T00:00:00"/>
        <d v="2025-09-08T00:00:00"/>
        <d v="2025-09-06T00:00:00"/>
        <d v="2025-09-07T00:00:00"/>
        <d v="2025-09-05T00:00:00"/>
        <d v="2025-09-21T00:00:00"/>
        <d v="2025-09-02T00:00:00"/>
        <d v="2025-09-01T00:00:00"/>
        <d v="2025-09-04T00:00:00"/>
        <d v="2025-09-24T00:00:00"/>
        <d v="2025-09-30T00:00:00"/>
        <d v="2025-09-16T00:00:00"/>
        <d v="2025-09-26T00:00:00"/>
        <d v="2025-09-19T00:00:00"/>
        <d v="2025-09-09T00:00:00"/>
      </sharedItems>
      <fieldGroup par="12" base="0">
        <rangePr groupBy="days" startDate="2025-09-01T00:00:00" endDate="2025-10-02T00:00:00"/>
        <groupItems count="368">
          <s v="&lt;01-09-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0-2025"/>
        </groupItems>
      </fieldGroup>
    </cacheField>
    <cacheField name="Student_ID" numFmtId="0">
      <sharedItems/>
    </cacheField>
    <cacheField name="Meal_Type" numFmtId="0">
      <sharedItems/>
    </cacheField>
    <cacheField name="Food_Quality" numFmtId="0">
      <sharedItems containsSemiMixedTypes="0" containsString="0" containsNumber="1" containsInteger="1" minValue="1" maxValue="5"/>
    </cacheField>
    <cacheField name="Quantity" numFmtId="0">
      <sharedItems containsSemiMixedTypes="0" containsString="0" containsNumber="1" containsInteger="1" minValue="1" maxValue="5"/>
    </cacheField>
    <cacheField name="Cleanliness" numFmtId="0">
      <sharedItems containsSemiMixedTypes="0" containsString="0" containsNumber="1" containsInteger="1" minValue="1" maxValue="5"/>
    </cacheField>
    <cacheField name="Staff_Behavior" numFmtId="0">
      <sharedItems containsSemiMixedTypes="0" containsString="0" containsNumber="1" containsInteger="1" minValue="1" maxValue="5"/>
    </cacheField>
    <cacheField name="Overall_Rating" numFmtId="0">
      <sharedItems containsSemiMixedTypes="0" containsString="0" containsNumber="1" minValue="1.3" maxValue="4.7"/>
    </cacheField>
    <cacheField name="Suggestion" numFmtId="0">
      <sharedItems/>
    </cacheField>
    <cacheField name="Week Number" numFmtId="0">
      <sharedItems containsSemiMixedTypes="0" containsString="0" containsNumber="1" containsInteger="1" minValue="36" maxValue="40" count="5">
        <n v="38"/>
        <n v="40"/>
        <n v="36"/>
        <n v="37"/>
        <n v="39"/>
      </sharedItems>
    </cacheField>
    <cacheField name="Month" numFmtId="0">
      <sharedItems count="2">
        <s v="September"/>
        <s v="October"/>
      </sharedItems>
    </cacheField>
    <cacheField name="Sentiment" numFmtId="0">
      <sharedItems count="3">
        <s v="Negative"/>
        <s v="Positive"/>
        <s v="Neutral"/>
      </sharedItems>
    </cacheField>
    <cacheField name="Months" numFmtId="0" databaseField="0">
      <fieldGroup base="0">
        <rangePr groupBy="months" startDate="2025-09-01T00:00:00" endDate="2025-10-02T00:00:00"/>
        <groupItems count="14">
          <s v="&lt;01-09-2025"/>
          <s v="Jan"/>
          <s v="Feb"/>
          <s v="Mar"/>
          <s v="Apr"/>
          <s v="May"/>
          <s v="Jun"/>
          <s v="Jul"/>
          <s v="Aug"/>
          <s v="Sep"/>
          <s v="Oct"/>
          <s v="Nov"/>
          <s v="Dec"/>
          <s v="&gt;02-10-2025"/>
        </groupItems>
      </fieldGroup>
    </cacheField>
  </cacheFields>
  <extLst>
    <ext xmlns:x14="http://schemas.microsoft.com/office/spreadsheetml/2009/9/main" uri="{725AE2AE-9491-48be-B2B4-4EB974FC3084}">
      <x14:pivotCacheDefinition pivotCacheId="888618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001"/>
    <s v="Lunch"/>
    <n v="1"/>
    <n v="3"/>
    <n v="2"/>
    <n v="3"/>
    <n v="1.9"/>
    <s v="Great service"/>
    <x v="0"/>
    <x v="0"/>
    <x v="0"/>
  </r>
  <r>
    <x v="1"/>
    <s v="S002"/>
    <s v="Lunch"/>
    <n v="2"/>
    <n v="4"/>
    <n v="5"/>
    <n v="2"/>
    <n v="2.8"/>
    <s v="Too oily"/>
    <x v="1"/>
    <x v="1"/>
    <x v="0"/>
  </r>
  <r>
    <x v="2"/>
    <s v="S003"/>
    <s v="Dinner"/>
    <n v="4"/>
    <n v="5"/>
    <n v="4"/>
    <n v="5"/>
    <n v="4.7"/>
    <s v="Too oily"/>
    <x v="2"/>
    <x v="0"/>
    <x v="1"/>
  </r>
  <r>
    <x v="3"/>
    <s v="S004"/>
    <s v="Breakfast"/>
    <n v="2"/>
    <n v="4"/>
    <n v="4"/>
    <n v="5"/>
    <n v="3.5"/>
    <s v="Add more salad"/>
    <x v="3"/>
    <x v="0"/>
    <x v="0"/>
  </r>
  <r>
    <x v="4"/>
    <s v="S005"/>
    <s v="Dinner"/>
    <n v="5"/>
    <n v="4"/>
    <n v="1"/>
    <n v="5"/>
    <n v="3.8"/>
    <s v="Increase quantity"/>
    <x v="0"/>
    <x v="0"/>
    <x v="0"/>
  </r>
  <r>
    <x v="5"/>
    <s v="S006"/>
    <s v="Breakfast"/>
    <n v="5"/>
    <n v="5"/>
    <n v="1"/>
    <n v="2"/>
    <n v="3.5"/>
    <s v="Need more variety"/>
    <x v="1"/>
    <x v="0"/>
    <x v="0"/>
  </r>
  <r>
    <x v="6"/>
    <s v="S007"/>
    <s v="Breakfast"/>
    <n v="2"/>
    <n v="1"/>
    <n v="1"/>
    <n v="2"/>
    <n v="1.9"/>
    <s v="Great service"/>
    <x v="3"/>
    <x v="0"/>
    <x v="0"/>
  </r>
  <r>
    <x v="7"/>
    <s v="S008"/>
    <s v="Breakfast"/>
    <n v="4"/>
    <n v="4"/>
    <n v="4"/>
    <n v="2"/>
    <n v="4"/>
    <s v="Rice not cooked well"/>
    <x v="0"/>
    <x v="0"/>
    <x v="1"/>
  </r>
  <r>
    <x v="8"/>
    <s v="S009"/>
    <s v="Dinner"/>
    <n v="5"/>
    <n v="5"/>
    <n v="3"/>
    <n v="2"/>
    <n v="3.7"/>
    <s v="Food temperature low"/>
    <x v="3"/>
    <x v="0"/>
    <x v="0"/>
  </r>
  <r>
    <x v="7"/>
    <s v="S010"/>
    <s v="Dinner"/>
    <n v="2"/>
    <n v="4"/>
    <n v="3"/>
    <n v="4"/>
    <n v="3.1"/>
    <s v="Rice not cooked well"/>
    <x v="0"/>
    <x v="0"/>
    <x v="0"/>
  </r>
  <r>
    <x v="3"/>
    <s v="S011"/>
    <s v="Lunch"/>
    <n v="2"/>
    <n v="2"/>
    <n v="5"/>
    <n v="1"/>
    <n v="2.6"/>
    <s v="Staff very polite"/>
    <x v="3"/>
    <x v="0"/>
    <x v="0"/>
  </r>
  <r>
    <x v="9"/>
    <s v="S012"/>
    <s v="Dinner"/>
    <n v="3"/>
    <n v="4"/>
    <n v="5"/>
    <n v="3"/>
    <n v="3.3"/>
    <s v="Food temperature low"/>
    <x v="4"/>
    <x v="0"/>
    <x v="0"/>
  </r>
  <r>
    <x v="7"/>
    <s v="S013"/>
    <s v="Breakfast"/>
    <n v="3"/>
    <n v="5"/>
    <n v="4"/>
    <n v="4"/>
    <n v="4.4000000000000004"/>
    <s v="Food served cold"/>
    <x v="0"/>
    <x v="0"/>
    <x v="1"/>
  </r>
  <r>
    <x v="10"/>
    <s v="S014"/>
    <s v="Lunch"/>
    <n v="3"/>
    <n v="1"/>
    <n v="5"/>
    <n v="4"/>
    <n v="3.5"/>
    <s v="Food served cold"/>
    <x v="0"/>
    <x v="0"/>
    <x v="0"/>
  </r>
  <r>
    <x v="11"/>
    <s v="S015"/>
    <s v="Dinner"/>
    <n v="4"/>
    <n v="1"/>
    <n v="5"/>
    <n v="5"/>
    <n v="3.8"/>
    <s v="Reduce salt"/>
    <x v="1"/>
    <x v="0"/>
    <x v="0"/>
  </r>
  <r>
    <x v="12"/>
    <s v="S016"/>
    <s v="Breakfast"/>
    <n v="1"/>
    <n v="5"/>
    <n v="3"/>
    <n v="3"/>
    <n v="3.2"/>
    <s v="Increase quantity"/>
    <x v="4"/>
    <x v="0"/>
    <x v="0"/>
  </r>
  <r>
    <x v="13"/>
    <s v="S017"/>
    <s v="Breakfast"/>
    <n v="1"/>
    <n v="3"/>
    <n v="1"/>
    <n v="5"/>
    <n v="2.7"/>
    <s v="Rice not cooked well"/>
    <x v="3"/>
    <x v="0"/>
    <x v="0"/>
  </r>
  <r>
    <x v="8"/>
    <s v="S018"/>
    <s v="Breakfast"/>
    <n v="5"/>
    <n v="5"/>
    <n v="4"/>
    <n v="3"/>
    <n v="4.5999999999999996"/>
    <s v="Increase quantity"/>
    <x v="3"/>
    <x v="0"/>
    <x v="1"/>
  </r>
  <r>
    <x v="1"/>
    <s v="S019"/>
    <s v="Breakfast"/>
    <n v="3"/>
    <n v="5"/>
    <n v="4"/>
    <n v="5"/>
    <n v="4.5999999999999996"/>
    <s v="Too oily"/>
    <x v="1"/>
    <x v="1"/>
    <x v="1"/>
  </r>
  <r>
    <x v="5"/>
    <s v="S020"/>
    <s v="Dinner"/>
    <n v="2"/>
    <n v="4"/>
    <n v="5"/>
    <n v="2"/>
    <n v="2.9"/>
    <s v="Add more salad"/>
    <x v="1"/>
    <x v="0"/>
    <x v="0"/>
  </r>
  <r>
    <x v="14"/>
    <s v="S021"/>
    <s v="Dinner"/>
    <n v="4"/>
    <n v="5"/>
    <n v="4"/>
    <n v="5"/>
    <n v="4.5999999999999996"/>
    <s v="Food temperature low"/>
    <x v="0"/>
    <x v="0"/>
    <x v="1"/>
  </r>
  <r>
    <x v="15"/>
    <s v="S022"/>
    <s v="Breakfast"/>
    <n v="5"/>
    <n v="1"/>
    <n v="3"/>
    <n v="5"/>
    <n v="3.4"/>
    <s v="Too oily"/>
    <x v="4"/>
    <x v="0"/>
    <x v="0"/>
  </r>
  <r>
    <x v="16"/>
    <s v="S023"/>
    <s v="Dinner"/>
    <n v="1"/>
    <n v="5"/>
    <n v="5"/>
    <n v="5"/>
    <n v="3.7"/>
    <s v="Food temperature low"/>
    <x v="3"/>
    <x v="0"/>
    <x v="0"/>
  </r>
  <r>
    <x v="16"/>
    <s v="S024"/>
    <s v="Lunch"/>
    <n v="2"/>
    <n v="4"/>
    <n v="3"/>
    <n v="4"/>
    <n v="2.9"/>
    <s v="Need more non-veg options"/>
    <x v="3"/>
    <x v="0"/>
    <x v="0"/>
  </r>
  <r>
    <x v="17"/>
    <s v="S025"/>
    <s v="Breakfast"/>
    <n v="3"/>
    <n v="5"/>
    <n v="1"/>
    <n v="4"/>
    <n v="3.6"/>
    <s v="Food too spicy"/>
    <x v="2"/>
    <x v="0"/>
    <x v="0"/>
  </r>
  <r>
    <x v="18"/>
    <s v="S026"/>
    <s v="Breakfast"/>
    <n v="2"/>
    <n v="4"/>
    <n v="5"/>
    <n v="2"/>
    <n v="3.4"/>
    <s v="Too oily"/>
    <x v="3"/>
    <x v="0"/>
    <x v="0"/>
  </r>
  <r>
    <x v="14"/>
    <s v="S027"/>
    <s v="Lunch"/>
    <n v="2"/>
    <n v="1"/>
    <n v="1"/>
    <n v="3"/>
    <n v="2.2000000000000002"/>
    <s v="Rice not cooked well"/>
    <x v="0"/>
    <x v="0"/>
    <x v="0"/>
  </r>
  <r>
    <x v="0"/>
    <s v="S028"/>
    <s v="Dinner"/>
    <n v="3"/>
    <n v="4"/>
    <n v="3"/>
    <n v="4"/>
    <n v="3.1"/>
    <s v="Increase quantity"/>
    <x v="0"/>
    <x v="0"/>
    <x v="0"/>
  </r>
  <r>
    <x v="16"/>
    <s v="S029"/>
    <s v="Breakfast"/>
    <n v="5"/>
    <n v="2"/>
    <n v="5"/>
    <n v="1"/>
    <n v="2.8"/>
    <s v="Tasty food"/>
    <x v="3"/>
    <x v="0"/>
    <x v="0"/>
  </r>
  <r>
    <x v="6"/>
    <s v="S030"/>
    <s v="Dinner"/>
    <n v="2"/>
    <n v="4"/>
    <n v="2"/>
    <n v="2"/>
    <n v="2.2000000000000002"/>
    <s v="Great service"/>
    <x v="3"/>
    <x v="0"/>
    <x v="0"/>
  </r>
  <r>
    <x v="2"/>
    <s v="S031"/>
    <s v="Breakfast"/>
    <n v="1"/>
    <n v="3"/>
    <n v="2"/>
    <n v="3"/>
    <n v="2.4"/>
    <s v="Staff very polite"/>
    <x v="2"/>
    <x v="0"/>
    <x v="0"/>
  </r>
  <r>
    <x v="11"/>
    <s v="S032"/>
    <s v="Lunch"/>
    <n v="3"/>
    <n v="5"/>
    <n v="4"/>
    <n v="5"/>
    <n v="3.8"/>
    <s v="Need more non-veg options"/>
    <x v="1"/>
    <x v="0"/>
    <x v="0"/>
  </r>
  <r>
    <x v="15"/>
    <s v="S033"/>
    <s v="Lunch"/>
    <n v="1"/>
    <n v="3"/>
    <n v="3"/>
    <n v="2"/>
    <n v="2.5"/>
    <s v="Add more salad"/>
    <x v="4"/>
    <x v="0"/>
    <x v="0"/>
  </r>
  <r>
    <x v="4"/>
    <s v="S034"/>
    <s v="Lunch"/>
    <n v="3"/>
    <n v="1"/>
    <n v="1"/>
    <n v="5"/>
    <n v="2.4"/>
    <s v="Need more variety"/>
    <x v="0"/>
    <x v="0"/>
    <x v="0"/>
  </r>
  <r>
    <x v="3"/>
    <s v="S035"/>
    <s v="Lunch"/>
    <n v="4"/>
    <n v="4"/>
    <n v="1"/>
    <n v="4"/>
    <n v="3"/>
    <s v="Need more non-veg options"/>
    <x v="3"/>
    <x v="0"/>
    <x v="2"/>
  </r>
  <r>
    <x v="12"/>
    <s v="S036"/>
    <s v="Breakfast"/>
    <n v="4"/>
    <n v="1"/>
    <n v="4"/>
    <n v="1"/>
    <n v="2.2000000000000002"/>
    <s v="Increase quantity"/>
    <x v="4"/>
    <x v="0"/>
    <x v="0"/>
  </r>
  <r>
    <x v="8"/>
    <s v="S037"/>
    <s v="Breakfast"/>
    <n v="2"/>
    <n v="3"/>
    <n v="2"/>
    <n v="3"/>
    <n v="2.1"/>
    <s v="Reduce salt"/>
    <x v="3"/>
    <x v="0"/>
    <x v="0"/>
  </r>
  <r>
    <x v="15"/>
    <s v="S038"/>
    <s v="Breakfast"/>
    <n v="4"/>
    <n v="2"/>
    <n v="2"/>
    <n v="4"/>
    <n v="3.3"/>
    <s v="Food too spicy"/>
    <x v="4"/>
    <x v="0"/>
    <x v="0"/>
  </r>
  <r>
    <x v="15"/>
    <s v="S039"/>
    <s v="Dinner"/>
    <n v="5"/>
    <n v="2"/>
    <n v="2"/>
    <n v="2"/>
    <n v="2.4"/>
    <s v="Food too spicy"/>
    <x v="4"/>
    <x v="0"/>
    <x v="0"/>
  </r>
  <r>
    <x v="19"/>
    <s v="S040"/>
    <s v="Lunch"/>
    <n v="5"/>
    <n v="5"/>
    <n v="3"/>
    <n v="4"/>
    <n v="4.0999999999999996"/>
    <s v="Great service"/>
    <x v="2"/>
    <x v="0"/>
    <x v="1"/>
  </r>
  <r>
    <x v="17"/>
    <s v="S041"/>
    <s v="Lunch"/>
    <n v="3"/>
    <n v="1"/>
    <n v="4"/>
    <n v="5"/>
    <n v="3.4"/>
    <s v="Great service"/>
    <x v="2"/>
    <x v="0"/>
    <x v="0"/>
  </r>
  <r>
    <x v="2"/>
    <s v="S042"/>
    <s v="Dinner"/>
    <n v="2"/>
    <n v="4"/>
    <n v="3"/>
    <n v="1"/>
    <n v="2.7"/>
    <s v="Great service"/>
    <x v="2"/>
    <x v="0"/>
    <x v="0"/>
  </r>
  <r>
    <x v="20"/>
    <s v="S043"/>
    <s v="Lunch"/>
    <n v="5"/>
    <n v="4"/>
    <n v="1"/>
    <n v="1"/>
    <n v="3.2"/>
    <s v="Increase quantity"/>
    <x v="4"/>
    <x v="0"/>
    <x v="0"/>
  </r>
  <r>
    <x v="19"/>
    <s v="S044"/>
    <s v="Dinner"/>
    <n v="1"/>
    <n v="2"/>
    <n v="5"/>
    <n v="5"/>
    <n v="3.1"/>
    <s v="Great service"/>
    <x v="2"/>
    <x v="0"/>
    <x v="0"/>
  </r>
  <r>
    <x v="13"/>
    <s v="S045"/>
    <s v="Dinner"/>
    <n v="2"/>
    <n v="1"/>
    <n v="4"/>
    <n v="5"/>
    <n v="3.3"/>
    <s v="Food served cold"/>
    <x v="3"/>
    <x v="0"/>
    <x v="0"/>
  </r>
  <r>
    <x v="19"/>
    <s v="S046"/>
    <s v="Lunch"/>
    <n v="1"/>
    <n v="1"/>
    <n v="1"/>
    <n v="4"/>
    <n v="1.3"/>
    <s v="Add more salad"/>
    <x v="2"/>
    <x v="0"/>
    <x v="0"/>
  </r>
  <r>
    <x v="20"/>
    <s v="S047"/>
    <s v="Breakfast"/>
    <n v="3"/>
    <n v="2"/>
    <n v="3"/>
    <n v="3"/>
    <n v="3"/>
    <s v="Add more salad"/>
    <x v="4"/>
    <x v="0"/>
    <x v="2"/>
  </r>
  <r>
    <x v="21"/>
    <s v="S048"/>
    <s v="Breakfast"/>
    <n v="3"/>
    <n v="1"/>
    <n v="2"/>
    <n v="1"/>
    <n v="1.4"/>
    <s v="Add more salad"/>
    <x v="2"/>
    <x v="0"/>
    <x v="0"/>
  </r>
  <r>
    <x v="6"/>
    <s v="S049"/>
    <s v="Lunch"/>
    <n v="2"/>
    <n v="4"/>
    <n v="5"/>
    <n v="2"/>
    <n v="2.8"/>
    <s v="Improve cleanliness"/>
    <x v="3"/>
    <x v="0"/>
    <x v="0"/>
  </r>
  <r>
    <x v="13"/>
    <s v="S050"/>
    <s v="Dinner"/>
    <n v="1"/>
    <n v="4"/>
    <n v="1"/>
    <n v="5"/>
    <n v="3.1"/>
    <s v="Food served cold"/>
    <x v="3"/>
    <x v="0"/>
    <x v="0"/>
  </r>
  <r>
    <x v="22"/>
    <s v="S051"/>
    <s v="Breakfast"/>
    <n v="4"/>
    <n v="4"/>
    <n v="4"/>
    <n v="5"/>
    <n v="4.5999999999999996"/>
    <s v="Add fruits"/>
    <x v="2"/>
    <x v="0"/>
    <x v="1"/>
  </r>
  <r>
    <x v="23"/>
    <s v="S052"/>
    <s v="Lunch"/>
    <n v="5"/>
    <n v="4"/>
    <n v="4"/>
    <n v="5"/>
    <n v="4.5999999999999996"/>
    <s v="Food temperature low"/>
    <x v="2"/>
    <x v="0"/>
    <x v="1"/>
  </r>
  <r>
    <x v="6"/>
    <s v="S053"/>
    <s v="Lunch"/>
    <n v="4"/>
    <n v="5"/>
    <n v="1"/>
    <n v="4"/>
    <n v="3.5"/>
    <s v="Food served cold"/>
    <x v="3"/>
    <x v="0"/>
    <x v="0"/>
  </r>
  <r>
    <x v="24"/>
    <s v="S054"/>
    <s v="Breakfast"/>
    <n v="1"/>
    <n v="4"/>
    <n v="2"/>
    <n v="1"/>
    <n v="1.6"/>
    <s v="Rice not cooked well"/>
    <x v="4"/>
    <x v="0"/>
    <x v="0"/>
  </r>
  <r>
    <x v="14"/>
    <s v="S055"/>
    <s v="Breakfast"/>
    <n v="2"/>
    <n v="4"/>
    <n v="3"/>
    <n v="2"/>
    <n v="2.9"/>
    <s v="Too oily"/>
    <x v="0"/>
    <x v="0"/>
    <x v="0"/>
  </r>
  <r>
    <x v="25"/>
    <s v="S056"/>
    <s v="Breakfast"/>
    <n v="3"/>
    <n v="5"/>
    <n v="2"/>
    <n v="5"/>
    <n v="3.3"/>
    <s v="Increase quantity"/>
    <x v="1"/>
    <x v="0"/>
    <x v="0"/>
  </r>
  <r>
    <x v="1"/>
    <s v="S057"/>
    <s v="Dinner"/>
    <n v="4"/>
    <n v="1"/>
    <n v="2"/>
    <n v="5"/>
    <n v="3.2"/>
    <s v="Need more variety"/>
    <x v="1"/>
    <x v="1"/>
    <x v="0"/>
  </r>
  <r>
    <x v="26"/>
    <s v="S058"/>
    <s v="Breakfast"/>
    <n v="3"/>
    <n v="4"/>
    <n v="3"/>
    <n v="1"/>
    <n v="2.4"/>
    <s v="Increase quantity"/>
    <x v="0"/>
    <x v="0"/>
    <x v="0"/>
  </r>
  <r>
    <x v="2"/>
    <s v="S059"/>
    <s v="Dinner"/>
    <n v="4"/>
    <n v="1"/>
    <n v="5"/>
    <n v="3"/>
    <n v="3.3"/>
    <s v="Need more non-veg options"/>
    <x v="2"/>
    <x v="0"/>
    <x v="0"/>
  </r>
  <r>
    <x v="20"/>
    <s v="S060"/>
    <s v="Dinner"/>
    <n v="4"/>
    <n v="2"/>
    <n v="3"/>
    <n v="4"/>
    <n v="3.4"/>
    <s v="Need more non-veg options"/>
    <x v="4"/>
    <x v="0"/>
    <x v="0"/>
  </r>
  <r>
    <x v="1"/>
    <s v="S061"/>
    <s v="Lunch"/>
    <n v="3"/>
    <n v="4"/>
    <n v="5"/>
    <n v="3"/>
    <n v="3.6"/>
    <s v="Rice not cooked well"/>
    <x v="1"/>
    <x v="1"/>
    <x v="0"/>
  </r>
  <r>
    <x v="12"/>
    <s v="S062"/>
    <s v="Breakfast"/>
    <n v="3"/>
    <n v="2"/>
    <n v="3"/>
    <n v="3"/>
    <n v="2.6"/>
    <s v="Need more non-veg options"/>
    <x v="4"/>
    <x v="0"/>
    <x v="0"/>
  </r>
  <r>
    <x v="27"/>
    <s v="S063"/>
    <s v="Dinner"/>
    <n v="4"/>
    <n v="2"/>
    <n v="3"/>
    <n v="4"/>
    <n v="3.1"/>
    <s v="Food too spicy"/>
    <x v="4"/>
    <x v="0"/>
    <x v="0"/>
  </r>
  <r>
    <x v="23"/>
    <s v="S064"/>
    <s v="Lunch"/>
    <n v="4"/>
    <n v="1"/>
    <n v="2"/>
    <n v="5"/>
    <n v="2.7"/>
    <s v="Food served cold"/>
    <x v="2"/>
    <x v="0"/>
    <x v="0"/>
  </r>
  <r>
    <x v="19"/>
    <s v="S065"/>
    <s v="Dinner"/>
    <n v="4"/>
    <n v="4"/>
    <n v="3"/>
    <n v="4"/>
    <n v="3.4"/>
    <s v="Increase quantity"/>
    <x v="2"/>
    <x v="0"/>
    <x v="0"/>
  </r>
  <r>
    <x v="28"/>
    <s v="S066"/>
    <s v="Breakfast"/>
    <n v="2"/>
    <n v="2"/>
    <n v="2"/>
    <n v="2"/>
    <n v="2.4"/>
    <s v="Food too spicy"/>
    <x v="0"/>
    <x v="0"/>
    <x v="0"/>
  </r>
  <r>
    <x v="28"/>
    <s v="S067"/>
    <s v="Lunch"/>
    <n v="1"/>
    <n v="5"/>
    <n v="5"/>
    <n v="3"/>
    <n v="3.2"/>
    <s v="Food too spicy"/>
    <x v="0"/>
    <x v="0"/>
    <x v="0"/>
  </r>
  <r>
    <x v="11"/>
    <s v="S068"/>
    <s v="Lunch"/>
    <n v="5"/>
    <n v="1"/>
    <n v="4"/>
    <n v="5"/>
    <n v="4.2"/>
    <s v="Food too spicy"/>
    <x v="1"/>
    <x v="0"/>
    <x v="1"/>
  </r>
  <r>
    <x v="22"/>
    <s v="S069"/>
    <s v="Dinner"/>
    <n v="4"/>
    <n v="5"/>
    <n v="1"/>
    <n v="3"/>
    <n v="3"/>
    <s v="Staff very polite"/>
    <x v="2"/>
    <x v="0"/>
    <x v="2"/>
  </r>
  <r>
    <x v="13"/>
    <s v="S070"/>
    <s v="Lunch"/>
    <n v="4"/>
    <n v="2"/>
    <n v="4"/>
    <n v="4"/>
    <n v="3.4"/>
    <s v="Improve cleanliness"/>
    <x v="3"/>
    <x v="0"/>
    <x v="0"/>
  </r>
  <r>
    <x v="16"/>
    <s v="S071"/>
    <s v="Breakfast"/>
    <n v="5"/>
    <n v="1"/>
    <n v="2"/>
    <n v="5"/>
    <n v="3.4"/>
    <s v="Food temperature low"/>
    <x v="3"/>
    <x v="0"/>
    <x v="0"/>
  </r>
  <r>
    <x v="2"/>
    <s v="S072"/>
    <s v="Dinner"/>
    <n v="5"/>
    <n v="3"/>
    <n v="5"/>
    <n v="1"/>
    <n v="3.5"/>
    <s v="Improve cleanliness"/>
    <x v="2"/>
    <x v="0"/>
    <x v="0"/>
  </r>
  <r>
    <x v="12"/>
    <s v="S073"/>
    <s v="Breakfast"/>
    <n v="3"/>
    <n v="4"/>
    <n v="3"/>
    <n v="1"/>
    <n v="2.6"/>
    <s v="Add fruits"/>
    <x v="4"/>
    <x v="0"/>
    <x v="0"/>
  </r>
  <r>
    <x v="1"/>
    <s v="S074"/>
    <s v="Lunch"/>
    <n v="1"/>
    <n v="3"/>
    <n v="4"/>
    <n v="1"/>
    <n v="2.6"/>
    <s v="Food temperature low"/>
    <x v="1"/>
    <x v="1"/>
    <x v="0"/>
  </r>
  <r>
    <x v="29"/>
    <s v="S075"/>
    <s v="Dinner"/>
    <n v="3"/>
    <n v="4"/>
    <n v="2"/>
    <n v="3"/>
    <n v="2.6"/>
    <s v="Tasty food"/>
    <x v="3"/>
    <x v="0"/>
    <x v="0"/>
  </r>
  <r>
    <x v="9"/>
    <s v="S076"/>
    <s v="Lunch"/>
    <n v="2"/>
    <n v="2"/>
    <n v="2"/>
    <n v="4"/>
    <n v="2.1"/>
    <s v="Increase quantity"/>
    <x v="4"/>
    <x v="0"/>
    <x v="0"/>
  </r>
  <r>
    <x v="2"/>
    <s v="S077"/>
    <s v="Dinner"/>
    <n v="1"/>
    <n v="2"/>
    <n v="2"/>
    <n v="2"/>
    <n v="2"/>
    <s v="Need more variety"/>
    <x v="2"/>
    <x v="0"/>
    <x v="0"/>
  </r>
  <r>
    <x v="4"/>
    <s v="S078"/>
    <s v="Breakfast"/>
    <n v="2"/>
    <n v="3"/>
    <n v="4"/>
    <n v="1"/>
    <n v="2.6"/>
    <s v="Reduce salt"/>
    <x v="0"/>
    <x v="0"/>
    <x v="0"/>
  </r>
  <r>
    <x v="0"/>
    <s v="S079"/>
    <s v="Dinner"/>
    <n v="3"/>
    <n v="2"/>
    <n v="2"/>
    <n v="1"/>
    <n v="1.9"/>
    <s v="Rice not cooked well"/>
    <x v="0"/>
    <x v="0"/>
    <x v="0"/>
  </r>
  <r>
    <x v="24"/>
    <s v="S080"/>
    <s v="Lunch"/>
    <n v="2"/>
    <n v="1"/>
    <n v="4"/>
    <n v="3"/>
    <n v="2.8"/>
    <s v="Rice not cooked well"/>
    <x v="4"/>
    <x v="0"/>
    <x v="0"/>
  </r>
  <r>
    <x v="25"/>
    <s v="S081"/>
    <s v="Breakfast"/>
    <n v="2"/>
    <n v="3"/>
    <n v="5"/>
    <n v="4"/>
    <n v="3.4"/>
    <s v="Too oily"/>
    <x v="1"/>
    <x v="0"/>
    <x v="0"/>
  </r>
  <r>
    <x v="27"/>
    <s v="S082"/>
    <s v="Dinner"/>
    <n v="2"/>
    <n v="2"/>
    <n v="5"/>
    <n v="5"/>
    <n v="3.4"/>
    <s v="Food too spicy"/>
    <x v="4"/>
    <x v="0"/>
    <x v="0"/>
  </r>
  <r>
    <x v="21"/>
    <s v="S083"/>
    <s v="Breakfast"/>
    <n v="2"/>
    <n v="1"/>
    <n v="2"/>
    <n v="4"/>
    <n v="2.2000000000000002"/>
    <s v="Reduce salt"/>
    <x v="2"/>
    <x v="0"/>
    <x v="0"/>
  </r>
  <r>
    <x v="10"/>
    <s v="S084"/>
    <s v="Breakfast"/>
    <n v="5"/>
    <n v="3"/>
    <n v="4"/>
    <n v="4"/>
    <n v="3.7"/>
    <s v="Need more non-veg options"/>
    <x v="0"/>
    <x v="0"/>
    <x v="0"/>
  </r>
  <r>
    <x v="16"/>
    <s v="S085"/>
    <s v="Dinner"/>
    <n v="5"/>
    <n v="3"/>
    <n v="3"/>
    <n v="3"/>
    <n v="4"/>
    <s v="Food served cold"/>
    <x v="3"/>
    <x v="0"/>
    <x v="1"/>
  </r>
  <r>
    <x v="11"/>
    <s v="S086"/>
    <s v="Lunch"/>
    <n v="4"/>
    <n v="3"/>
    <n v="3"/>
    <n v="4"/>
    <n v="3.6"/>
    <s v="Tasty food"/>
    <x v="1"/>
    <x v="0"/>
    <x v="0"/>
  </r>
  <r>
    <x v="10"/>
    <s v="S087"/>
    <s v="Lunch"/>
    <n v="3"/>
    <n v="1"/>
    <n v="4"/>
    <n v="5"/>
    <n v="3"/>
    <s v="Increase quantity"/>
    <x v="0"/>
    <x v="0"/>
    <x v="2"/>
  </r>
  <r>
    <x v="8"/>
    <s v="S088"/>
    <s v="Lunch"/>
    <n v="1"/>
    <n v="2"/>
    <n v="2"/>
    <n v="3"/>
    <n v="1.9"/>
    <s v="Staff very polite"/>
    <x v="3"/>
    <x v="0"/>
    <x v="0"/>
  </r>
  <r>
    <x v="20"/>
    <s v="S089"/>
    <s v="Dinner"/>
    <n v="2"/>
    <n v="1"/>
    <n v="3"/>
    <n v="4"/>
    <n v="2.8"/>
    <s v="Need more variety"/>
    <x v="4"/>
    <x v="0"/>
    <x v="0"/>
  </r>
  <r>
    <x v="0"/>
    <s v="S090"/>
    <s v="Dinner"/>
    <n v="5"/>
    <n v="2"/>
    <n v="2"/>
    <n v="4"/>
    <n v="2.8"/>
    <s v="Staff very polite"/>
    <x v="0"/>
    <x v="0"/>
    <x v="0"/>
  </r>
  <r>
    <x v="4"/>
    <s v="S091"/>
    <s v="Breakfast"/>
    <n v="4"/>
    <n v="4"/>
    <n v="5"/>
    <n v="1"/>
    <n v="3"/>
    <s v="Too oily"/>
    <x v="0"/>
    <x v="0"/>
    <x v="2"/>
  </r>
  <r>
    <x v="18"/>
    <s v="S092"/>
    <s v="Breakfast"/>
    <n v="1"/>
    <n v="3"/>
    <n v="3"/>
    <n v="5"/>
    <n v="3.3"/>
    <s v="Rice not cooked well"/>
    <x v="3"/>
    <x v="0"/>
    <x v="0"/>
  </r>
  <r>
    <x v="6"/>
    <s v="S093"/>
    <s v="Breakfast"/>
    <n v="1"/>
    <n v="3"/>
    <n v="3"/>
    <n v="2"/>
    <n v="2.6"/>
    <s v="Add fruits"/>
    <x v="3"/>
    <x v="0"/>
    <x v="0"/>
  </r>
  <r>
    <x v="29"/>
    <s v="S094"/>
    <s v="Dinner"/>
    <n v="2"/>
    <n v="2"/>
    <n v="2"/>
    <n v="1"/>
    <n v="1.9"/>
    <s v="Increase quantity"/>
    <x v="3"/>
    <x v="0"/>
    <x v="0"/>
  </r>
  <r>
    <x v="11"/>
    <s v="S095"/>
    <s v="Breakfast"/>
    <n v="3"/>
    <n v="1"/>
    <n v="4"/>
    <n v="5"/>
    <n v="3"/>
    <s v="Add more salad"/>
    <x v="1"/>
    <x v="0"/>
    <x v="2"/>
  </r>
  <r>
    <x v="5"/>
    <s v="S096"/>
    <s v="Dinner"/>
    <n v="2"/>
    <n v="3"/>
    <n v="1"/>
    <n v="4"/>
    <n v="2.7"/>
    <s v="Food served cold"/>
    <x v="1"/>
    <x v="0"/>
    <x v="0"/>
  </r>
  <r>
    <x v="0"/>
    <s v="S097"/>
    <s v="Breakfast"/>
    <n v="4"/>
    <n v="1"/>
    <n v="4"/>
    <n v="5"/>
    <n v="3.4"/>
    <s v="Tasty food"/>
    <x v="0"/>
    <x v="0"/>
    <x v="0"/>
  </r>
  <r>
    <x v="19"/>
    <s v="S098"/>
    <s v="Lunch"/>
    <n v="2"/>
    <n v="2"/>
    <n v="2"/>
    <n v="1"/>
    <n v="2.2000000000000002"/>
    <s v="Staff very polite"/>
    <x v="2"/>
    <x v="0"/>
    <x v="0"/>
  </r>
  <r>
    <x v="6"/>
    <s v="S099"/>
    <s v="Breakfast"/>
    <n v="4"/>
    <n v="3"/>
    <n v="3"/>
    <n v="4"/>
    <n v="3.8"/>
    <s v="Tasty food"/>
    <x v="3"/>
    <x v="0"/>
    <x v="0"/>
  </r>
  <r>
    <x v="8"/>
    <s v="S100"/>
    <s v="Breakfast"/>
    <n v="2"/>
    <n v="1"/>
    <n v="5"/>
    <n v="2"/>
    <n v="2.2000000000000002"/>
    <s v="Need more variety"/>
    <x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8205AD-406F-4F27-8DEE-3052C9092817}" name="Sentiment by Week"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5">
  <location ref="J3:M9" firstHeaderRow="1" firstDataRow="2" firstDataCol="1"/>
  <pivotFields count="13">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dataField="1" showAll="0"/>
    <pivotField showAll="0"/>
    <pivotField axis="axisRow" showAll="0">
      <items count="6">
        <item x="2"/>
        <item x="3"/>
        <item x="0"/>
        <item x="4"/>
        <item x="1"/>
        <item t="default"/>
      </items>
    </pivotField>
    <pivotField showAll="0">
      <items count="3">
        <item x="0"/>
        <item x="1"/>
        <item t="default"/>
      </items>
    </pivotField>
    <pivotField axis="axisCol" showAll="0">
      <items count="4">
        <item x="0"/>
        <item x="2"/>
        <item x="1"/>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x v="4"/>
    </i>
  </rowItems>
  <colFields count="1">
    <field x="11"/>
  </colFields>
  <colItems count="3">
    <i>
      <x/>
    </i>
    <i>
      <x v="1"/>
    </i>
    <i>
      <x v="2"/>
    </i>
  </colItems>
  <dataFields count="1">
    <dataField name="Average of Overall_Rating" fld="7" subtotal="average" baseField="11" baseItem="0"/>
  </dataFields>
  <chartFormats count="16">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3">
          <reference field="4294967294" count="1" selected="0">
            <x v="0"/>
          </reference>
          <reference field="9" count="1" selected="0">
            <x v="2"/>
          </reference>
          <reference field="11" count="1" selected="0">
            <x v="2"/>
          </reference>
        </references>
      </pivotArea>
    </chartFormat>
    <chartFormat chart="2" format="11">
      <pivotArea type="data" outline="0" fieldPosition="0">
        <references count="3">
          <reference field="4294967294" count="1" selected="0">
            <x v="0"/>
          </reference>
          <reference field="9" count="1" selected="0">
            <x v="0"/>
          </reference>
          <reference field="11" count="1" selected="0">
            <x v="2"/>
          </reference>
        </references>
      </pivotArea>
    </chartFormat>
    <chartFormat chart="2" format="12">
      <pivotArea type="data" outline="0" fieldPosition="0">
        <references count="3">
          <reference field="4294967294" count="1" selected="0">
            <x v="0"/>
          </reference>
          <reference field="9" count="1" selected="0">
            <x v="1"/>
          </reference>
          <reference field="11" count="1" selected="0">
            <x v="2"/>
          </reference>
        </references>
      </pivotArea>
    </chartFormat>
    <chartFormat chart="2" format="13">
      <pivotArea type="data" outline="0" fieldPosition="0">
        <references count="3">
          <reference field="4294967294" count="1" selected="0">
            <x v="0"/>
          </reference>
          <reference field="9" count="1" selected="0">
            <x v="3"/>
          </reference>
          <reference field="11" count="1" selected="0">
            <x v="2"/>
          </reference>
        </references>
      </pivotArea>
    </chartFormat>
    <chartFormat chart="2" format="14">
      <pivotArea type="data" outline="0" fieldPosition="0">
        <references count="3">
          <reference field="4294967294" count="1" selected="0">
            <x v="0"/>
          </reference>
          <reference field="9" count="1" selected="0">
            <x v="4"/>
          </reference>
          <reference field="11" count="1" selected="0">
            <x v="2"/>
          </reference>
        </references>
      </pivotArea>
    </chartFormat>
    <chartFormat chart="2" format="15">
      <pivotArea type="data" outline="0" fieldPosition="0">
        <references count="3">
          <reference field="4294967294" count="1" selected="0">
            <x v="0"/>
          </reference>
          <reference field="9" count="1" selected="0">
            <x v="4"/>
          </reference>
          <reference field="11" count="1" selected="0">
            <x v="0"/>
          </reference>
        </references>
      </pivotArea>
    </chartFormat>
    <chartFormat chart="2" format="16">
      <pivotArea type="data" outline="0" fieldPosition="0">
        <references count="3">
          <reference field="4294967294" count="1" selected="0">
            <x v="0"/>
          </reference>
          <reference field="9" count="1" selected="0">
            <x v="0"/>
          </reference>
          <reference field="11" count="1" selected="0">
            <x v="1"/>
          </reference>
        </references>
      </pivotArea>
    </chartFormat>
    <chartFormat chart="2" format="17">
      <pivotArea type="data" outline="0" fieldPosition="0">
        <references count="3">
          <reference field="4294967294" count="1" selected="0">
            <x v="0"/>
          </reference>
          <reference field="9" count="1" selected="0">
            <x v="4"/>
          </reference>
          <reference field="11" count="1" selected="0">
            <x v="1"/>
          </reference>
        </references>
      </pivotArea>
    </chartFormat>
    <chartFormat chart="2" format="18">
      <pivotArea type="data" outline="0" fieldPosition="0">
        <references count="3">
          <reference field="4294967294" count="1" selected="0">
            <x v="0"/>
          </reference>
          <reference field="9" count="1" selected="0">
            <x v="3"/>
          </reference>
          <reference field="11" count="1" selected="0">
            <x v="1"/>
          </reference>
        </references>
      </pivotArea>
    </chartFormat>
    <chartFormat chart="2" format="19">
      <pivotArea type="data" outline="0" fieldPosition="0">
        <references count="3">
          <reference field="4294967294" count="1" selected="0">
            <x v="0"/>
          </reference>
          <reference field="9" count="1" selected="0">
            <x v="2"/>
          </reference>
          <reference field="11" count="1" selected="0">
            <x v="1"/>
          </reference>
        </references>
      </pivotArea>
    </chartFormat>
    <chartFormat chart="2" format="20">
      <pivotArea type="data" outline="0" fieldPosition="0">
        <references count="3">
          <reference field="4294967294" count="1" selected="0">
            <x v="0"/>
          </reference>
          <reference field="9" count="1" selected="0">
            <x v="1"/>
          </reference>
          <reference field="11" count="1" selected="0">
            <x v="1"/>
          </reference>
        </references>
      </pivotArea>
    </chartFormat>
    <chartFormat chart="2" format="21">
      <pivotArea type="data" outline="0" fieldPosition="0">
        <references count="3">
          <reference field="4294967294" count="1" selected="0">
            <x v="0"/>
          </reference>
          <reference field="9" count="1" selected="0">
            <x v="1"/>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AF0D3C-D8B2-49D6-968B-E8245CA3D2F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3">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feedback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025455-CF11-4EAB-8BDE-7B77B532D13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C12" firstHeaderRow="0" firstDataRow="1" firstDataCol="1"/>
  <pivotFields count="13">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Fields count="1">
    <field x="-2"/>
  </colFields>
  <colItems count="2">
    <i>
      <x/>
    </i>
    <i i="1">
      <x v="1"/>
    </i>
  </colItems>
  <dataFields count="2">
    <dataField name="Count of Student_ID" fld="1" subtotal="count" baseField="0" baseItem="0"/>
    <dataField name="percentage of feedbacks" fld="1"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percentage"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8680AB-23BA-419F-B894-DB2A507A7B0A}" name="Overall feedback distribu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6">
  <location ref="R3:S6" firstHeaderRow="1" firstDataRow="1" firstDataCol="1"/>
  <pivotFields count="13">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pivotField showAll="0"/>
    <pivotField showAll="0"/>
    <pivotField showAll="0"/>
    <pivotField showAll="0">
      <items count="6">
        <item x="2"/>
        <item x="3"/>
        <item x="0"/>
        <item x="4"/>
        <item x="1"/>
        <item t="default"/>
      </items>
    </pivotField>
    <pivotField showAll="0">
      <items count="3">
        <item x="0"/>
        <item x="1"/>
        <item t="default"/>
      </items>
    </pivotField>
    <pivotField axis="axisRow"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3">
    <i>
      <x/>
    </i>
    <i>
      <x v="1"/>
    </i>
    <i>
      <x v="2"/>
    </i>
  </rowItems>
  <colItems count="1">
    <i/>
  </colItems>
  <dataFields count="1">
    <dataField name="Count of Student_ID" fld="1"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 chart="3" format="7">
      <pivotArea type="data" outline="0" fieldPosition="0">
        <references count="2">
          <reference field="4294967294" count="1" selected="0">
            <x v="0"/>
          </reference>
          <reference field="11" count="1" selected="0">
            <x v="1"/>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5C3CE5-17DE-4F76-BD4C-A11CB9CDB389}"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Y4:Z34" firstHeaderRow="1" firstDataRow="1" firstDataCol="1"/>
  <pivotFields count="13">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dataField="1" showAll="0"/>
    <pivotField showAll="0"/>
    <pivotField showAll="0">
      <items count="6">
        <item x="2"/>
        <item x="3"/>
        <item x="0"/>
        <item x="4"/>
        <item x="1"/>
        <item t="default"/>
      </items>
    </pivotField>
    <pivotField showAll="0">
      <items count="3">
        <item x="0"/>
        <item x="1"/>
        <item t="default"/>
      </items>
    </pivotField>
    <pivotField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30">
    <i>
      <x v="245"/>
    </i>
    <i>
      <x v="246"/>
    </i>
    <i>
      <x v="247"/>
    </i>
    <i>
      <x v="248"/>
    </i>
    <i>
      <x v="249"/>
    </i>
    <i>
      <x v="250"/>
    </i>
    <i>
      <x v="251"/>
    </i>
    <i>
      <x v="252"/>
    </i>
    <i>
      <x v="253"/>
    </i>
    <i>
      <x v="254"/>
    </i>
    <i>
      <x v="255"/>
    </i>
    <i>
      <x v="256"/>
    </i>
    <i>
      <x v="257"/>
    </i>
    <i>
      <x v="258"/>
    </i>
    <i>
      <x v="259"/>
    </i>
    <i>
      <x v="260"/>
    </i>
    <i>
      <x v="261"/>
    </i>
    <i>
      <x v="262"/>
    </i>
    <i>
      <x v="263"/>
    </i>
    <i>
      <x v="264"/>
    </i>
    <i>
      <x v="265"/>
    </i>
    <i>
      <x v="266"/>
    </i>
    <i>
      <x v="267"/>
    </i>
    <i>
      <x v="268"/>
    </i>
    <i>
      <x v="270"/>
    </i>
    <i>
      <x v="271"/>
    </i>
    <i>
      <x v="272"/>
    </i>
    <i>
      <x v="273"/>
    </i>
    <i>
      <x v="274"/>
    </i>
    <i>
      <x v="275"/>
    </i>
  </rowItems>
  <colItems count="1">
    <i/>
  </colItems>
  <dataFields count="1">
    <dataField name="Count of Overall_Rating" fld="7" subtotal="count" baseField="0" baseItem="247"/>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16E8DD-E51D-44CB-8F61-0CD77785D38E}" name="Average of Sentiment"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1">
  <location ref="O3:P6" firstHeaderRow="1" firstDataRow="1" firstDataCol="1"/>
  <pivotFields count="13">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dataField="1" showAll="0"/>
    <pivotField showAll="0"/>
    <pivotField showAll="0">
      <items count="6">
        <item x="2"/>
        <item x="3"/>
        <item x="0"/>
        <item x="4"/>
        <item x="1"/>
        <item t="default"/>
      </items>
    </pivotField>
    <pivotField showAll="0">
      <items count="3">
        <item x="0"/>
        <item x="1"/>
        <item t="default"/>
      </items>
    </pivotField>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s>
  <rowFields count="1">
    <field x="11"/>
  </rowFields>
  <rowItems count="3">
    <i>
      <x/>
    </i>
    <i>
      <x v="1"/>
    </i>
    <i>
      <x v="2"/>
    </i>
  </rowItems>
  <colItems count="1">
    <i/>
  </colItems>
  <dataFields count="1">
    <dataField name="Average of Overall_Rating" fld="7" subtotal="average" baseField="11"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1" count="1" selected="0">
            <x v="0"/>
          </reference>
        </references>
      </pivotArea>
    </chartFormat>
    <chartFormat chart="6" format="7">
      <pivotArea type="data" outline="0" fieldPosition="0">
        <references count="2">
          <reference field="4294967294" count="1" selected="0">
            <x v="0"/>
          </reference>
          <reference field="11" count="1" selected="0">
            <x v="1"/>
          </reference>
        </references>
      </pivotArea>
    </chartFormat>
    <chartFormat chart="6"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117173-3613-493F-93D9-5DE91F02004C}" name="Average Rating"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13">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Rating"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D200F4-2F43-4059-BD4A-B3929A22EBA2}" name="Sentiment by Month"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6">
  <location ref="E3:H6" firstHeaderRow="1" firstDataRow="2" firstDataCol="1"/>
  <pivotFields count="13">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dataField="1" showAll="0"/>
    <pivotField showAll="0"/>
    <pivotField showAll="0">
      <items count="6">
        <item x="2"/>
        <item x="3"/>
        <item x="0"/>
        <item x="4"/>
        <item x="1"/>
        <item t="default"/>
      </items>
    </pivotField>
    <pivotField axis="axisRow" showAll="0">
      <items count="3">
        <item x="0"/>
        <item x="1"/>
        <item t="default"/>
      </items>
    </pivotField>
    <pivotField axis="axisCol" showAll="0">
      <items count="4">
        <item x="0"/>
        <item x="2"/>
        <item x="1"/>
        <item t="default"/>
      </items>
    </pivotField>
    <pivotField showAll="0">
      <items count="15">
        <item x="0"/>
        <item x="1"/>
        <item x="2"/>
        <item x="3"/>
        <item x="4"/>
        <item x="5"/>
        <item x="6"/>
        <item x="7"/>
        <item x="8"/>
        <item x="9"/>
        <item x="10"/>
        <item x="11"/>
        <item x="12"/>
        <item x="13"/>
        <item t="default"/>
      </items>
    </pivotField>
  </pivotFields>
  <rowFields count="1">
    <field x="10"/>
  </rowFields>
  <rowItems count="2">
    <i>
      <x/>
    </i>
    <i>
      <x v="1"/>
    </i>
  </rowItems>
  <colFields count="1">
    <field x="11"/>
  </colFields>
  <colItems count="3">
    <i>
      <x/>
    </i>
    <i>
      <x v="1"/>
    </i>
    <i>
      <x v="2"/>
    </i>
  </colItems>
  <dataFields count="1">
    <dataField name="Average of Overall_Rating" fld="7" subtotal="average" baseField="11" baseItem="0"/>
  </dataFields>
  <chartFormats count="8">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3">
          <reference field="4294967294" count="1" selected="0">
            <x v="0"/>
          </reference>
          <reference field="10" count="1" selected="0">
            <x v="1"/>
          </reference>
          <reference field="11" count="1" selected="0">
            <x v="0"/>
          </reference>
        </references>
      </pivotArea>
    </chartFormat>
    <chartFormat chart="2" format="11">
      <pivotArea type="data" outline="0" fieldPosition="0">
        <references count="3">
          <reference field="4294967294" count="1" selected="0">
            <x v="0"/>
          </reference>
          <reference field="10" count="1" selected="0">
            <x v="0"/>
          </reference>
          <reference field="11" count="1" selected="0">
            <x v="0"/>
          </reference>
        </references>
      </pivotArea>
    </chartFormat>
    <chartFormat chart="2" format="12">
      <pivotArea type="data" outline="0" fieldPosition="0">
        <references count="3">
          <reference field="4294967294" count="1" selected="0">
            <x v="0"/>
          </reference>
          <reference field="10" count="1" selected="0">
            <x v="0"/>
          </reference>
          <reference field="11" count="1" selected="0">
            <x v="1"/>
          </reference>
        </references>
      </pivotArea>
    </chartFormat>
    <chartFormat chart="2" format="13">
      <pivotArea type="data" outline="0" fieldPosition="0">
        <references count="3">
          <reference field="4294967294" count="1" selected="0">
            <x v="0"/>
          </reference>
          <reference field="10"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 xr10:uid="{47494C10-14A0-4936-90BC-3D5034E617C3}" sourceName="Sentiment">
  <pivotTables>
    <pivotTable tabId="2" name="Sentiment by Week"/>
    <pivotTable tabId="2" name="Overall feedback distribution"/>
    <pivotTable tabId="2" name="Sentiment by Month"/>
  </pivotTables>
  <data>
    <tabular pivotCacheId="88861834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5F4461D-5C54-4F7A-96AA-807E6BB57734}" sourceName="Month">
  <pivotTables>
    <pivotTable tabId="2" name="Sentiment by Month"/>
    <pivotTable tabId="2" name="Overall feedback distribution"/>
    <pivotTable tabId="2" name="Sentiment by Week"/>
  </pivotTables>
  <data>
    <tabular pivotCacheId="88861834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696FA756-F901-49B6-A853-9483F7CC649A}" sourceName="Date">
  <pivotTables>
    <pivotTable tabId="2" name="Sentiment by Month"/>
    <pivotTable tabId="2" name="Overall feedback distribution"/>
    <pivotTable tabId="2" name="Sentiment by Week"/>
  </pivotTables>
  <data>
    <tabular pivotCacheId="888618346">
      <items count="368">
        <i x="275" s="1"/>
        <i x="245" s="1"/>
        <i x="246" s="1"/>
        <i x="247" s="1"/>
        <i x="248" s="1"/>
        <i x="249" s="1"/>
        <i x="250" s="1"/>
        <i x="251" s="1"/>
        <i x="252" s="1"/>
        <i x="253" s="1"/>
        <i x="254" s="1"/>
        <i x="255" s="1"/>
        <i x="256" s="1"/>
        <i x="257" s="1"/>
        <i x="258" s="1"/>
        <i x="259" s="1"/>
        <i x="260" s="1"/>
        <i x="261" s="1"/>
        <i x="262" s="1"/>
        <i x="263" s="1"/>
        <i x="264" s="1"/>
        <i x="265" s="1"/>
        <i x="266" s="1"/>
        <i x="267" s="1"/>
        <i x="268" s="1"/>
        <i x="270" s="1"/>
        <i x="271" s="1"/>
        <i x="272" s="1"/>
        <i x="273" s="1"/>
        <i x="274" s="1"/>
        <i x="0" s="1" nd="1"/>
        <i x="367" s="1" nd="1"/>
        <i x="92" s="1" nd="1"/>
        <i x="214" s="1" nd="1"/>
        <i x="336" s="1" nd="1"/>
        <i x="32" s="1" nd="1"/>
        <i x="1" s="1" nd="1"/>
        <i x="183" s="1" nd="1"/>
        <i x="153" s="1" nd="1"/>
        <i x="61" s="1" nd="1"/>
        <i x="122" s="1" nd="1"/>
        <i x="306" s="1" nd="1"/>
        <i x="93" s="1" nd="1"/>
        <i x="215" s="1" nd="1"/>
        <i x="337" s="1" nd="1"/>
        <i x="33" s="1" nd="1"/>
        <i x="2" s="1" nd="1"/>
        <i x="184" s="1" nd="1"/>
        <i x="154" s="1" nd="1"/>
        <i x="62" s="1" nd="1"/>
        <i x="123" s="1" nd="1"/>
        <i x="307" s="1" nd="1"/>
        <i x="276" s="1" nd="1"/>
        <i x="94" s="1" nd="1"/>
        <i x="216" s="1" nd="1"/>
        <i x="338" s="1" nd="1"/>
        <i x="34" s="1" nd="1"/>
        <i x="3" s="1" nd="1"/>
        <i x="185" s="1" nd="1"/>
        <i x="155" s="1" nd="1"/>
        <i x="63" s="1" nd="1"/>
        <i x="124" s="1" nd="1"/>
        <i x="308" s="1" nd="1"/>
        <i x="277" s="1" nd="1"/>
        <i x="95" s="1" nd="1"/>
        <i x="217" s="1" nd="1"/>
        <i x="339" s="1" nd="1"/>
        <i x="35" s="1" nd="1"/>
        <i x="4" s="1" nd="1"/>
        <i x="186" s="1" nd="1"/>
        <i x="156" s="1" nd="1"/>
        <i x="64" s="1" nd="1"/>
        <i x="125" s="1" nd="1"/>
        <i x="309" s="1" nd="1"/>
        <i x="278" s="1" nd="1"/>
        <i x="96" s="1" nd="1"/>
        <i x="218" s="1" nd="1"/>
        <i x="340" s="1" nd="1"/>
        <i x="36" s="1" nd="1"/>
        <i x="5" s="1" nd="1"/>
        <i x="187" s="1" nd="1"/>
        <i x="157" s="1" nd="1"/>
        <i x="65" s="1" nd="1"/>
        <i x="126" s="1" nd="1"/>
        <i x="310" s="1" nd="1"/>
        <i x="279" s="1" nd="1"/>
        <i x="97" s="1" nd="1"/>
        <i x="219" s="1" nd="1"/>
        <i x="341" s="1" nd="1"/>
        <i x="37" s="1" nd="1"/>
        <i x="6" s="1" nd="1"/>
        <i x="188" s="1" nd="1"/>
        <i x="158" s="1" nd="1"/>
        <i x="66" s="1" nd="1"/>
        <i x="127" s="1" nd="1"/>
        <i x="311" s="1" nd="1"/>
        <i x="280" s="1" nd="1"/>
        <i x="98" s="1" nd="1"/>
        <i x="220" s="1" nd="1"/>
        <i x="342" s="1" nd="1"/>
        <i x="38" s="1" nd="1"/>
        <i x="7" s="1" nd="1"/>
        <i x="189" s="1" nd="1"/>
        <i x="159" s="1" nd="1"/>
        <i x="67" s="1" nd="1"/>
        <i x="128" s="1" nd="1"/>
        <i x="312" s="1" nd="1"/>
        <i x="281" s="1" nd="1"/>
        <i x="99" s="1" nd="1"/>
        <i x="221" s="1" nd="1"/>
        <i x="343" s="1" nd="1"/>
        <i x="39" s="1" nd="1"/>
        <i x="8" s="1" nd="1"/>
        <i x="190" s="1" nd="1"/>
        <i x="160" s="1" nd="1"/>
        <i x="68" s="1" nd="1"/>
        <i x="129" s="1" nd="1"/>
        <i x="313" s="1" nd="1"/>
        <i x="282" s="1" nd="1"/>
        <i x="100" s="1" nd="1"/>
        <i x="222" s="1" nd="1"/>
        <i x="344" s="1" nd="1"/>
        <i x="40" s="1" nd="1"/>
        <i x="9" s="1" nd="1"/>
        <i x="191" s="1" nd="1"/>
        <i x="161" s="1" nd="1"/>
        <i x="69" s="1" nd="1"/>
        <i x="130" s="1" nd="1"/>
        <i x="314" s="1" nd="1"/>
        <i x="283" s="1" nd="1"/>
        <i x="101" s="1" nd="1"/>
        <i x="223" s="1" nd="1"/>
        <i x="345" s="1" nd="1"/>
        <i x="41" s="1" nd="1"/>
        <i x="10" s="1" nd="1"/>
        <i x="192" s="1" nd="1"/>
        <i x="162" s="1" nd="1"/>
        <i x="70" s="1" nd="1"/>
        <i x="131" s="1" nd="1"/>
        <i x="315" s="1" nd="1"/>
        <i x="284" s="1" nd="1"/>
        <i x="102" s="1" nd="1"/>
        <i x="224" s="1" nd="1"/>
        <i x="346" s="1" nd="1"/>
        <i x="42" s="1" nd="1"/>
        <i x="11" s="1" nd="1"/>
        <i x="193" s="1" nd="1"/>
        <i x="163" s="1" nd="1"/>
        <i x="71" s="1" nd="1"/>
        <i x="132" s="1" nd="1"/>
        <i x="316" s="1" nd="1"/>
        <i x="285" s="1" nd="1"/>
        <i x="103" s="1" nd="1"/>
        <i x="225" s="1" nd="1"/>
        <i x="347" s="1" nd="1"/>
        <i x="43" s="1" nd="1"/>
        <i x="12" s="1" nd="1"/>
        <i x="194" s="1" nd="1"/>
        <i x="164" s="1" nd="1"/>
        <i x="72" s="1" nd="1"/>
        <i x="133" s="1" nd="1"/>
        <i x="317" s="1" nd="1"/>
        <i x="286" s="1" nd="1"/>
        <i x="104" s="1" nd="1"/>
        <i x="226" s="1" nd="1"/>
        <i x="348" s="1" nd="1"/>
        <i x="44" s="1" nd="1"/>
        <i x="13" s="1" nd="1"/>
        <i x="195" s="1" nd="1"/>
        <i x="165" s="1" nd="1"/>
        <i x="73" s="1" nd="1"/>
        <i x="134" s="1" nd="1"/>
        <i x="318" s="1" nd="1"/>
        <i x="287" s="1" nd="1"/>
        <i x="105" s="1" nd="1"/>
        <i x="227" s="1" nd="1"/>
        <i x="349" s="1" nd="1"/>
        <i x="45" s="1" nd="1"/>
        <i x="14" s="1" nd="1"/>
        <i x="196" s="1" nd="1"/>
        <i x="166" s="1" nd="1"/>
        <i x="74" s="1" nd="1"/>
        <i x="135" s="1" nd="1"/>
        <i x="319" s="1" nd="1"/>
        <i x="288" s="1" nd="1"/>
        <i x="106" s="1" nd="1"/>
        <i x="228" s="1" nd="1"/>
        <i x="350" s="1" nd="1"/>
        <i x="46" s="1" nd="1"/>
        <i x="15" s="1" nd="1"/>
        <i x="197" s="1" nd="1"/>
        <i x="167" s="1" nd="1"/>
        <i x="75" s="1" nd="1"/>
        <i x="136" s="1" nd="1"/>
        <i x="320" s="1" nd="1"/>
        <i x="289" s="1" nd="1"/>
        <i x="107" s="1" nd="1"/>
        <i x="229" s="1" nd="1"/>
        <i x="351" s="1" nd="1"/>
        <i x="47" s="1" nd="1"/>
        <i x="16" s="1" nd="1"/>
        <i x="198" s="1" nd="1"/>
        <i x="168" s="1" nd="1"/>
        <i x="76" s="1" nd="1"/>
        <i x="137" s="1" nd="1"/>
        <i x="321" s="1" nd="1"/>
        <i x="290" s="1" nd="1"/>
        <i x="108" s="1" nd="1"/>
        <i x="230" s="1" nd="1"/>
        <i x="352" s="1" nd="1"/>
        <i x="48" s="1" nd="1"/>
        <i x="17" s="1" nd="1"/>
        <i x="199" s="1" nd="1"/>
        <i x="169" s="1" nd="1"/>
        <i x="77" s="1" nd="1"/>
        <i x="138" s="1" nd="1"/>
        <i x="322" s="1" nd="1"/>
        <i x="291" s="1" nd="1"/>
        <i x="109" s="1" nd="1"/>
        <i x="231" s="1" nd="1"/>
        <i x="353" s="1" nd="1"/>
        <i x="49" s="1" nd="1"/>
        <i x="18" s="1" nd="1"/>
        <i x="200" s="1" nd="1"/>
        <i x="170" s="1" nd="1"/>
        <i x="78" s="1" nd="1"/>
        <i x="139" s="1" nd="1"/>
        <i x="323" s="1" nd="1"/>
        <i x="292" s="1" nd="1"/>
        <i x="110" s="1" nd="1"/>
        <i x="232" s="1" nd="1"/>
        <i x="354" s="1" nd="1"/>
        <i x="50" s="1" nd="1"/>
        <i x="19" s="1" nd="1"/>
        <i x="201" s="1" nd="1"/>
        <i x="171" s="1" nd="1"/>
        <i x="79" s="1" nd="1"/>
        <i x="140" s="1" nd="1"/>
        <i x="324" s="1" nd="1"/>
        <i x="293" s="1" nd="1"/>
        <i x="111" s="1" nd="1"/>
        <i x="233" s="1" nd="1"/>
        <i x="355" s="1" nd="1"/>
        <i x="51" s="1" nd="1"/>
        <i x="20" s="1" nd="1"/>
        <i x="202" s="1" nd="1"/>
        <i x="172" s="1" nd="1"/>
        <i x="80" s="1" nd="1"/>
        <i x="141" s="1" nd="1"/>
        <i x="325" s="1" nd="1"/>
        <i x="294" s="1" nd="1"/>
        <i x="112" s="1" nd="1"/>
        <i x="234" s="1" nd="1"/>
        <i x="356" s="1" nd="1"/>
        <i x="52" s="1" nd="1"/>
        <i x="21" s="1" nd="1"/>
        <i x="203" s="1" nd="1"/>
        <i x="173" s="1" nd="1"/>
        <i x="81" s="1" nd="1"/>
        <i x="142" s="1" nd="1"/>
        <i x="326" s="1" nd="1"/>
        <i x="295" s="1" nd="1"/>
        <i x="113" s="1" nd="1"/>
        <i x="235" s="1" nd="1"/>
        <i x="357" s="1" nd="1"/>
        <i x="53" s="1" nd="1"/>
        <i x="22" s="1" nd="1"/>
        <i x="204" s="1" nd="1"/>
        <i x="174" s="1" nd="1"/>
        <i x="82" s="1" nd="1"/>
        <i x="143" s="1" nd="1"/>
        <i x="327" s="1" nd="1"/>
        <i x="296" s="1" nd="1"/>
        <i x="114" s="1" nd="1"/>
        <i x="236" s="1" nd="1"/>
        <i x="358" s="1" nd="1"/>
        <i x="54" s="1" nd="1"/>
        <i x="23" s="1" nd="1"/>
        <i x="205" s="1" nd="1"/>
        <i x="175" s="1" nd="1"/>
        <i x="83" s="1" nd="1"/>
        <i x="144" s="1" nd="1"/>
        <i x="328" s="1" nd="1"/>
        <i x="297" s="1" nd="1"/>
        <i x="115" s="1" nd="1"/>
        <i x="237" s="1" nd="1"/>
        <i x="359" s="1" nd="1"/>
        <i x="55" s="1" nd="1"/>
        <i x="24" s="1" nd="1"/>
        <i x="206" s="1" nd="1"/>
        <i x="176" s="1" nd="1"/>
        <i x="84" s="1" nd="1"/>
        <i x="145" s="1" nd="1"/>
        <i x="329" s="1" nd="1"/>
        <i x="298" s="1" nd="1"/>
        <i x="116" s="1" nd="1"/>
        <i x="238" s="1" nd="1"/>
        <i x="360" s="1" nd="1"/>
        <i x="56" s="1" nd="1"/>
        <i x="25" s="1" nd="1"/>
        <i x="207" s="1" nd="1"/>
        <i x="177" s="1" nd="1"/>
        <i x="85" s="1" nd="1"/>
        <i x="146" s="1" nd="1"/>
        <i x="330" s="1" nd="1"/>
        <i x="299" s="1" nd="1"/>
        <i x="269" s="1" nd="1"/>
        <i x="117" s="1" nd="1"/>
        <i x="239" s="1" nd="1"/>
        <i x="361" s="1" nd="1"/>
        <i x="57" s="1" nd="1"/>
        <i x="26" s="1" nd="1"/>
        <i x="208" s="1" nd="1"/>
        <i x="178" s="1" nd="1"/>
        <i x="86" s="1" nd="1"/>
        <i x="147" s="1" nd="1"/>
        <i x="331" s="1" nd="1"/>
        <i x="300" s="1" nd="1"/>
        <i x="118" s="1" nd="1"/>
        <i x="240" s="1" nd="1"/>
        <i x="362" s="1" nd="1"/>
        <i x="58" s="1" nd="1"/>
        <i x="27" s="1" nd="1"/>
        <i x="209" s="1" nd="1"/>
        <i x="179" s="1" nd="1"/>
        <i x="87" s="1" nd="1"/>
        <i x="148" s="1" nd="1"/>
        <i x="332" s="1" nd="1"/>
        <i x="301" s="1" nd="1"/>
        <i x="119" s="1" nd="1"/>
        <i x="241" s="1" nd="1"/>
        <i x="363" s="1" nd="1"/>
        <i x="59" s="1" nd="1"/>
        <i x="28" s="1" nd="1"/>
        <i x="210" s="1" nd="1"/>
        <i x="180" s="1" nd="1"/>
        <i x="88" s="1" nd="1"/>
        <i x="149" s="1" nd="1"/>
        <i x="333" s="1" nd="1"/>
        <i x="302" s="1" nd="1"/>
        <i x="120" s="1" nd="1"/>
        <i x="242" s="1" nd="1"/>
        <i x="364" s="1" nd="1"/>
        <i x="60" s="1" nd="1"/>
        <i x="29" s="1" nd="1"/>
        <i x="211" s="1" nd="1"/>
        <i x="181" s="1" nd="1"/>
        <i x="89" s="1" nd="1"/>
        <i x="150" s="1" nd="1"/>
        <i x="334" s="1" nd="1"/>
        <i x="303" s="1" nd="1"/>
        <i x="121" s="1" nd="1"/>
        <i x="243" s="1" nd="1"/>
        <i x="365" s="1" nd="1"/>
        <i x="30" s="1" nd="1"/>
        <i x="212" s="1" nd="1"/>
        <i x="182" s="1" nd="1"/>
        <i x="90" s="1" nd="1"/>
        <i x="151" s="1" nd="1"/>
        <i x="335" s="1" nd="1"/>
        <i x="304" s="1" nd="1"/>
        <i x="244" s="1" nd="1"/>
        <i x="366" s="1" nd="1"/>
        <i x="31" s="1" nd="1"/>
        <i x="213" s="1" nd="1"/>
        <i x="91" s="1" nd="1"/>
        <i x="152" s="1" nd="1"/>
        <i x="30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timent 1" xr10:uid="{D3558826-9339-480B-9E91-2DE46E30F670}" cache="Slicer_Sentiment" caption="Sentiment" style="cafe" rowHeight="234950"/>
  <slicer name="Month 1" xr10:uid="{5F253C53-2152-4A90-B5CD-C323D00708FC}" cache="Slicer_Month" caption="Month" style="cafe" rowHeight="234950"/>
  <slicer name="Date 1" xr10:uid="{8252C0C3-B8BD-40CE-848C-5E2B22479186}" cache="Slicer_Date" caption="Date" startItem="14" style="cafe"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6CAC0-4347-48B9-86CB-BF566206FB9A}">
  <sheetPr>
    <tabColor theme="4" tint="0.39997558519241921"/>
  </sheetPr>
  <dimension ref="A1:L101"/>
  <sheetViews>
    <sheetView zoomScale="111" workbookViewId="0">
      <selection activeCell="O10" sqref="O10"/>
    </sheetView>
  </sheetViews>
  <sheetFormatPr defaultRowHeight="14.4" x14ac:dyDescent="0.3"/>
  <cols>
    <col min="1" max="1" width="10.33203125" bestFit="1" customWidth="1"/>
    <col min="2" max="3" width="10" bestFit="1" customWidth="1"/>
    <col min="4" max="4" width="11.88671875" bestFit="1" customWidth="1"/>
    <col min="5" max="5" width="8" bestFit="1" customWidth="1"/>
    <col min="6" max="6" width="10" bestFit="1" customWidth="1"/>
    <col min="7" max="7" width="13.21875" bestFit="1" customWidth="1"/>
    <col min="8" max="8" width="12.88671875" bestFit="1" customWidth="1"/>
    <col min="9" max="9" width="24" bestFit="1" customWidth="1"/>
    <col min="10" max="10" width="12.6640625" bestFit="1" customWidth="1"/>
    <col min="11" max="11" width="9.77734375" bestFit="1" customWidth="1"/>
    <col min="17" max="17" width="23.109375" bestFit="1" customWidth="1"/>
  </cols>
  <sheetData>
    <row r="1" spans="1:12" x14ac:dyDescent="0.3">
      <c r="A1" t="s">
        <v>0</v>
      </c>
      <c r="B1" t="s">
        <v>1</v>
      </c>
      <c r="C1" t="s">
        <v>2</v>
      </c>
      <c r="D1" t="s">
        <v>3</v>
      </c>
      <c r="E1" t="s">
        <v>4</v>
      </c>
      <c r="F1" t="s">
        <v>5</v>
      </c>
      <c r="G1" t="s">
        <v>6</v>
      </c>
      <c r="H1" t="s">
        <v>7</v>
      </c>
      <c r="I1" t="s">
        <v>8</v>
      </c>
      <c r="J1" t="s">
        <v>127</v>
      </c>
      <c r="K1" t="s">
        <v>128</v>
      </c>
      <c r="L1" t="s">
        <v>129</v>
      </c>
    </row>
    <row r="2" spans="1:12" x14ac:dyDescent="0.3">
      <c r="A2" s="1">
        <v>45915</v>
      </c>
      <c r="B2" t="s">
        <v>9</v>
      </c>
      <c r="C2" t="s">
        <v>10</v>
      </c>
      <c r="D2">
        <v>1</v>
      </c>
      <c r="E2">
        <v>3</v>
      </c>
      <c r="F2">
        <v>2</v>
      </c>
      <c r="G2">
        <v>3</v>
      </c>
      <c r="H2">
        <v>1.9</v>
      </c>
      <c r="I2" t="s">
        <v>11</v>
      </c>
      <c r="J2">
        <f>WEEKNUM(A2)</f>
        <v>38</v>
      </c>
      <c r="K2" t="str">
        <f>TEXT(A2,"MMMM")</f>
        <v>September</v>
      </c>
      <c r="L2" t="str">
        <f>IF(H2&gt;=4,"Positive",IF(H2=3,"Neutral","Negative"))</f>
        <v>Negative</v>
      </c>
    </row>
    <row r="3" spans="1:12" x14ac:dyDescent="0.3">
      <c r="A3" s="1">
        <v>45931</v>
      </c>
      <c r="B3" t="s">
        <v>12</v>
      </c>
      <c r="C3" t="s">
        <v>10</v>
      </c>
      <c r="D3">
        <v>2</v>
      </c>
      <c r="E3">
        <v>4</v>
      </c>
      <c r="F3">
        <v>5</v>
      </c>
      <c r="G3">
        <v>2</v>
      </c>
      <c r="H3">
        <v>2.8</v>
      </c>
      <c r="I3" t="s">
        <v>13</v>
      </c>
      <c r="J3">
        <f t="shared" ref="J3:J66" si="0">WEEKNUM(A3)</f>
        <v>40</v>
      </c>
      <c r="K3" t="str">
        <f t="shared" ref="K3:K66" si="1">TEXT(A3,"MMMM")</f>
        <v>October</v>
      </c>
      <c r="L3" t="str">
        <f t="shared" ref="L3:L66" si="2">IF(H3&gt;=4,"Positive",IF(H3=3,"Neutral","Negative"))</f>
        <v>Negative</v>
      </c>
    </row>
    <row r="4" spans="1:12" x14ac:dyDescent="0.3">
      <c r="A4" s="1">
        <v>45903</v>
      </c>
      <c r="B4" t="s">
        <v>14</v>
      </c>
      <c r="C4" t="s">
        <v>15</v>
      </c>
      <c r="D4">
        <v>4</v>
      </c>
      <c r="E4">
        <v>5</v>
      </c>
      <c r="F4">
        <v>4</v>
      </c>
      <c r="G4">
        <v>5</v>
      </c>
      <c r="H4">
        <v>4.7</v>
      </c>
      <c r="I4" t="s">
        <v>13</v>
      </c>
      <c r="J4">
        <f t="shared" si="0"/>
        <v>36</v>
      </c>
      <c r="K4" t="str">
        <f t="shared" si="1"/>
        <v>September</v>
      </c>
      <c r="L4" t="str">
        <f t="shared" si="2"/>
        <v>Positive</v>
      </c>
    </row>
    <row r="5" spans="1:12" x14ac:dyDescent="0.3">
      <c r="A5" s="1">
        <v>45910</v>
      </c>
      <c r="B5" t="s">
        <v>16</v>
      </c>
      <c r="C5" t="s">
        <v>17</v>
      </c>
      <c r="D5">
        <v>2</v>
      </c>
      <c r="E5">
        <v>4</v>
      </c>
      <c r="F5">
        <v>4</v>
      </c>
      <c r="G5">
        <v>5</v>
      </c>
      <c r="H5">
        <v>3.5</v>
      </c>
      <c r="I5" t="s">
        <v>18</v>
      </c>
      <c r="J5">
        <f t="shared" si="0"/>
        <v>37</v>
      </c>
      <c r="K5" t="str">
        <f t="shared" si="1"/>
        <v>September</v>
      </c>
      <c r="L5" t="str">
        <f t="shared" si="2"/>
        <v>Negative</v>
      </c>
    </row>
    <row r="6" spans="1:12" x14ac:dyDescent="0.3">
      <c r="A6" s="1">
        <v>45914</v>
      </c>
      <c r="B6" t="s">
        <v>19</v>
      </c>
      <c r="C6" t="s">
        <v>15</v>
      </c>
      <c r="D6">
        <v>5</v>
      </c>
      <c r="E6">
        <v>4</v>
      </c>
      <c r="F6">
        <v>1</v>
      </c>
      <c r="G6">
        <v>5</v>
      </c>
      <c r="H6">
        <v>3.8</v>
      </c>
      <c r="I6" t="s">
        <v>20</v>
      </c>
      <c r="J6">
        <f t="shared" si="0"/>
        <v>38</v>
      </c>
      <c r="K6" t="str">
        <f t="shared" si="1"/>
        <v>September</v>
      </c>
      <c r="L6" t="str">
        <f t="shared" si="2"/>
        <v>Negative</v>
      </c>
    </row>
    <row r="7" spans="1:12" x14ac:dyDescent="0.3">
      <c r="A7" s="1">
        <v>45929</v>
      </c>
      <c r="B7" t="s">
        <v>21</v>
      </c>
      <c r="C7" t="s">
        <v>17</v>
      </c>
      <c r="D7">
        <v>5</v>
      </c>
      <c r="E7">
        <v>5</v>
      </c>
      <c r="F7">
        <v>1</v>
      </c>
      <c r="G7">
        <v>2</v>
      </c>
      <c r="H7">
        <v>3.5</v>
      </c>
      <c r="I7" t="s">
        <v>22</v>
      </c>
      <c r="J7">
        <f t="shared" si="0"/>
        <v>40</v>
      </c>
      <c r="K7" t="str">
        <f t="shared" si="1"/>
        <v>September</v>
      </c>
      <c r="L7" t="str">
        <f t="shared" si="2"/>
        <v>Negative</v>
      </c>
    </row>
    <row r="8" spans="1:12" x14ac:dyDescent="0.3">
      <c r="A8" s="1">
        <v>45911</v>
      </c>
      <c r="B8" t="s">
        <v>23</v>
      </c>
      <c r="C8" t="s">
        <v>17</v>
      </c>
      <c r="D8">
        <v>2</v>
      </c>
      <c r="E8">
        <v>1</v>
      </c>
      <c r="F8">
        <v>1</v>
      </c>
      <c r="G8">
        <v>2</v>
      </c>
      <c r="H8">
        <v>1.9</v>
      </c>
      <c r="I8" t="s">
        <v>11</v>
      </c>
      <c r="J8">
        <f t="shared" si="0"/>
        <v>37</v>
      </c>
      <c r="K8" t="str">
        <f t="shared" si="1"/>
        <v>September</v>
      </c>
      <c r="L8" t="str">
        <f t="shared" si="2"/>
        <v>Negative</v>
      </c>
    </row>
    <row r="9" spans="1:12" x14ac:dyDescent="0.3">
      <c r="A9" s="1">
        <v>45917</v>
      </c>
      <c r="B9" t="s">
        <v>24</v>
      </c>
      <c r="C9" t="s">
        <v>17</v>
      </c>
      <c r="D9">
        <v>4</v>
      </c>
      <c r="E9">
        <v>4</v>
      </c>
      <c r="F9">
        <v>4</v>
      </c>
      <c r="G9">
        <v>2</v>
      </c>
      <c r="H9">
        <v>4</v>
      </c>
      <c r="I9" t="s">
        <v>25</v>
      </c>
      <c r="J9">
        <f t="shared" si="0"/>
        <v>38</v>
      </c>
      <c r="K9" t="str">
        <f t="shared" si="1"/>
        <v>September</v>
      </c>
      <c r="L9" t="str">
        <f t="shared" si="2"/>
        <v>Positive</v>
      </c>
    </row>
    <row r="10" spans="1:12" x14ac:dyDescent="0.3">
      <c r="A10" s="1">
        <v>45912</v>
      </c>
      <c r="B10" t="s">
        <v>26</v>
      </c>
      <c r="C10" t="s">
        <v>15</v>
      </c>
      <c r="D10">
        <v>5</v>
      </c>
      <c r="E10">
        <v>5</v>
      </c>
      <c r="F10">
        <v>3</v>
      </c>
      <c r="G10">
        <v>2</v>
      </c>
      <c r="H10">
        <v>3.7</v>
      </c>
      <c r="I10" t="s">
        <v>27</v>
      </c>
      <c r="J10">
        <f t="shared" si="0"/>
        <v>37</v>
      </c>
      <c r="K10" t="str">
        <f t="shared" si="1"/>
        <v>September</v>
      </c>
      <c r="L10" t="str">
        <f t="shared" si="2"/>
        <v>Negative</v>
      </c>
    </row>
    <row r="11" spans="1:12" x14ac:dyDescent="0.3">
      <c r="A11" s="1">
        <v>45917</v>
      </c>
      <c r="B11" t="s">
        <v>28</v>
      </c>
      <c r="C11" t="s">
        <v>15</v>
      </c>
      <c r="D11">
        <v>2</v>
      </c>
      <c r="E11">
        <v>4</v>
      </c>
      <c r="F11">
        <v>3</v>
      </c>
      <c r="G11">
        <v>4</v>
      </c>
      <c r="H11">
        <v>3.1</v>
      </c>
      <c r="I11" t="s">
        <v>25</v>
      </c>
      <c r="J11">
        <f t="shared" si="0"/>
        <v>38</v>
      </c>
      <c r="K11" t="str">
        <f t="shared" si="1"/>
        <v>September</v>
      </c>
      <c r="L11" t="str">
        <f t="shared" si="2"/>
        <v>Negative</v>
      </c>
    </row>
    <row r="12" spans="1:12" x14ac:dyDescent="0.3">
      <c r="A12" s="1">
        <v>45910</v>
      </c>
      <c r="B12" t="s">
        <v>29</v>
      </c>
      <c r="C12" t="s">
        <v>10</v>
      </c>
      <c r="D12">
        <v>2</v>
      </c>
      <c r="E12">
        <v>2</v>
      </c>
      <c r="F12">
        <v>5</v>
      </c>
      <c r="G12">
        <v>1</v>
      </c>
      <c r="H12">
        <v>2.6</v>
      </c>
      <c r="I12" t="s">
        <v>30</v>
      </c>
      <c r="J12">
        <f t="shared" si="0"/>
        <v>37</v>
      </c>
      <c r="K12" t="str">
        <f t="shared" si="1"/>
        <v>September</v>
      </c>
      <c r="L12" t="str">
        <f t="shared" si="2"/>
        <v>Negative</v>
      </c>
    </row>
    <row r="13" spans="1:12" x14ac:dyDescent="0.3">
      <c r="A13" s="1">
        <v>45922</v>
      </c>
      <c r="B13" t="s">
        <v>31</v>
      </c>
      <c r="C13" t="s">
        <v>15</v>
      </c>
      <c r="D13">
        <v>3</v>
      </c>
      <c r="E13">
        <v>4</v>
      </c>
      <c r="F13">
        <v>5</v>
      </c>
      <c r="G13">
        <v>3</v>
      </c>
      <c r="H13">
        <v>3.3</v>
      </c>
      <c r="I13" t="s">
        <v>27</v>
      </c>
      <c r="J13">
        <f t="shared" si="0"/>
        <v>39</v>
      </c>
      <c r="K13" t="str">
        <f t="shared" si="1"/>
        <v>September</v>
      </c>
      <c r="L13" t="str">
        <f t="shared" si="2"/>
        <v>Negative</v>
      </c>
    </row>
    <row r="14" spans="1:12" x14ac:dyDescent="0.3">
      <c r="A14" s="1">
        <v>45917</v>
      </c>
      <c r="B14" t="s">
        <v>32</v>
      </c>
      <c r="C14" t="s">
        <v>17</v>
      </c>
      <c r="D14">
        <v>3</v>
      </c>
      <c r="E14">
        <v>5</v>
      </c>
      <c r="F14">
        <v>4</v>
      </c>
      <c r="G14">
        <v>4</v>
      </c>
      <c r="H14">
        <v>4.4000000000000004</v>
      </c>
      <c r="I14" t="s">
        <v>33</v>
      </c>
      <c r="J14">
        <f t="shared" si="0"/>
        <v>38</v>
      </c>
      <c r="K14" t="str">
        <f t="shared" si="1"/>
        <v>September</v>
      </c>
      <c r="L14" t="str">
        <f t="shared" si="2"/>
        <v>Positive</v>
      </c>
    </row>
    <row r="15" spans="1:12" x14ac:dyDescent="0.3">
      <c r="A15" s="1">
        <v>45918</v>
      </c>
      <c r="B15" t="s">
        <v>34</v>
      </c>
      <c r="C15" t="s">
        <v>10</v>
      </c>
      <c r="D15">
        <v>3</v>
      </c>
      <c r="E15">
        <v>1</v>
      </c>
      <c r="F15">
        <v>5</v>
      </c>
      <c r="G15">
        <v>4</v>
      </c>
      <c r="H15">
        <v>3.5</v>
      </c>
      <c r="I15" t="s">
        <v>33</v>
      </c>
      <c r="J15">
        <f t="shared" si="0"/>
        <v>38</v>
      </c>
      <c r="K15" t="str">
        <f t="shared" si="1"/>
        <v>September</v>
      </c>
      <c r="L15" t="str">
        <f t="shared" si="2"/>
        <v>Negative</v>
      </c>
    </row>
    <row r="16" spans="1:12" x14ac:dyDescent="0.3">
      <c r="A16" s="1">
        <v>45928</v>
      </c>
      <c r="B16" t="s">
        <v>35</v>
      </c>
      <c r="C16" t="s">
        <v>15</v>
      </c>
      <c r="D16">
        <v>4</v>
      </c>
      <c r="E16">
        <v>1</v>
      </c>
      <c r="F16">
        <v>5</v>
      </c>
      <c r="G16">
        <v>5</v>
      </c>
      <c r="H16">
        <v>3.8</v>
      </c>
      <c r="I16" t="s">
        <v>36</v>
      </c>
      <c r="J16">
        <f t="shared" si="0"/>
        <v>40</v>
      </c>
      <c r="K16" t="str">
        <f t="shared" si="1"/>
        <v>September</v>
      </c>
      <c r="L16" t="str">
        <f t="shared" si="2"/>
        <v>Negative</v>
      </c>
    </row>
    <row r="17" spans="1:12" x14ac:dyDescent="0.3">
      <c r="A17" s="1">
        <v>45927</v>
      </c>
      <c r="B17" t="s">
        <v>37</v>
      </c>
      <c r="C17" t="s">
        <v>17</v>
      </c>
      <c r="D17">
        <v>1</v>
      </c>
      <c r="E17">
        <v>5</v>
      </c>
      <c r="F17">
        <v>3</v>
      </c>
      <c r="G17">
        <v>3</v>
      </c>
      <c r="H17">
        <v>3.2</v>
      </c>
      <c r="I17" t="s">
        <v>20</v>
      </c>
      <c r="J17">
        <f t="shared" si="0"/>
        <v>39</v>
      </c>
      <c r="K17" t="str">
        <f t="shared" si="1"/>
        <v>September</v>
      </c>
      <c r="L17" t="str">
        <f t="shared" si="2"/>
        <v>Negative</v>
      </c>
    </row>
    <row r="18" spans="1:12" x14ac:dyDescent="0.3">
      <c r="A18" s="1">
        <v>45913</v>
      </c>
      <c r="B18" t="s">
        <v>38</v>
      </c>
      <c r="C18" t="s">
        <v>17</v>
      </c>
      <c r="D18">
        <v>1</v>
      </c>
      <c r="E18">
        <v>3</v>
      </c>
      <c r="F18">
        <v>1</v>
      </c>
      <c r="G18">
        <v>5</v>
      </c>
      <c r="H18">
        <v>2.7</v>
      </c>
      <c r="I18" t="s">
        <v>25</v>
      </c>
      <c r="J18">
        <f t="shared" si="0"/>
        <v>37</v>
      </c>
      <c r="K18" t="str">
        <f t="shared" si="1"/>
        <v>September</v>
      </c>
      <c r="L18" t="str">
        <f t="shared" si="2"/>
        <v>Negative</v>
      </c>
    </row>
    <row r="19" spans="1:12" x14ac:dyDescent="0.3">
      <c r="A19" s="1">
        <v>45912</v>
      </c>
      <c r="B19" t="s">
        <v>39</v>
      </c>
      <c r="C19" t="s">
        <v>17</v>
      </c>
      <c r="D19">
        <v>5</v>
      </c>
      <c r="E19">
        <v>5</v>
      </c>
      <c r="F19">
        <v>4</v>
      </c>
      <c r="G19">
        <v>3</v>
      </c>
      <c r="H19">
        <v>4.5999999999999996</v>
      </c>
      <c r="I19" t="s">
        <v>20</v>
      </c>
      <c r="J19">
        <f t="shared" si="0"/>
        <v>37</v>
      </c>
      <c r="K19" t="str">
        <f t="shared" si="1"/>
        <v>September</v>
      </c>
      <c r="L19" t="str">
        <f t="shared" si="2"/>
        <v>Positive</v>
      </c>
    </row>
    <row r="20" spans="1:12" x14ac:dyDescent="0.3">
      <c r="A20" s="1">
        <v>45931</v>
      </c>
      <c r="B20" t="s">
        <v>40</v>
      </c>
      <c r="C20" t="s">
        <v>17</v>
      </c>
      <c r="D20">
        <v>3</v>
      </c>
      <c r="E20">
        <v>5</v>
      </c>
      <c r="F20">
        <v>4</v>
      </c>
      <c r="G20">
        <v>5</v>
      </c>
      <c r="H20">
        <v>4.5999999999999996</v>
      </c>
      <c r="I20" t="s">
        <v>13</v>
      </c>
      <c r="J20">
        <f t="shared" si="0"/>
        <v>40</v>
      </c>
      <c r="K20" t="str">
        <f t="shared" si="1"/>
        <v>October</v>
      </c>
      <c r="L20" t="str">
        <f t="shared" si="2"/>
        <v>Positive</v>
      </c>
    </row>
    <row r="21" spans="1:12" x14ac:dyDescent="0.3">
      <c r="A21" s="1">
        <v>45929</v>
      </c>
      <c r="B21" t="s">
        <v>41</v>
      </c>
      <c r="C21" t="s">
        <v>15</v>
      </c>
      <c r="D21">
        <v>2</v>
      </c>
      <c r="E21">
        <v>4</v>
      </c>
      <c r="F21">
        <v>5</v>
      </c>
      <c r="G21">
        <v>2</v>
      </c>
      <c r="H21">
        <v>2.9</v>
      </c>
      <c r="I21" t="s">
        <v>18</v>
      </c>
      <c r="J21">
        <f t="shared" si="0"/>
        <v>40</v>
      </c>
      <c r="K21" t="str">
        <f t="shared" si="1"/>
        <v>September</v>
      </c>
      <c r="L21" t="str">
        <f t="shared" si="2"/>
        <v>Negative</v>
      </c>
    </row>
    <row r="22" spans="1:12" x14ac:dyDescent="0.3">
      <c r="A22" s="1">
        <v>45920</v>
      </c>
      <c r="B22" t="s">
        <v>42</v>
      </c>
      <c r="C22" t="s">
        <v>15</v>
      </c>
      <c r="D22">
        <v>4</v>
      </c>
      <c r="E22">
        <v>5</v>
      </c>
      <c r="F22">
        <v>4</v>
      </c>
      <c r="G22">
        <v>5</v>
      </c>
      <c r="H22">
        <v>4.5999999999999996</v>
      </c>
      <c r="I22" t="s">
        <v>27</v>
      </c>
      <c r="J22">
        <f t="shared" si="0"/>
        <v>38</v>
      </c>
      <c r="K22" t="str">
        <f t="shared" si="1"/>
        <v>September</v>
      </c>
      <c r="L22" t="str">
        <f t="shared" si="2"/>
        <v>Positive</v>
      </c>
    </row>
    <row r="23" spans="1:12" x14ac:dyDescent="0.3">
      <c r="A23" s="1">
        <v>45923</v>
      </c>
      <c r="B23" t="s">
        <v>43</v>
      </c>
      <c r="C23" t="s">
        <v>17</v>
      </c>
      <c r="D23">
        <v>5</v>
      </c>
      <c r="E23">
        <v>1</v>
      </c>
      <c r="F23">
        <v>3</v>
      </c>
      <c r="G23">
        <v>5</v>
      </c>
      <c r="H23">
        <v>3.4</v>
      </c>
      <c r="I23" t="s">
        <v>13</v>
      </c>
      <c r="J23">
        <f t="shared" si="0"/>
        <v>39</v>
      </c>
      <c r="K23" t="str">
        <f t="shared" si="1"/>
        <v>September</v>
      </c>
      <c r="L23" t="str">
        <f t="shared" si="2"/>
        <v>Negative</v>
      </c>
    </row>
    <row r="24" spans="1:12" x14ac:dyDescent="0.3">
      <c r="A24" s="1">
        <v>45908</v>
      </c>
      <c r="B24" t="s">
        <v>44</v>
      </c>
      <c r="C24" t="s">
        <v>15</v>
      </c>
      <c r="D24">
        <v>1</v>
      </c>
      <c r="E24">
        <v>5</v>
      </c>
      <c r="F24">
        <v>5</v>
      </c>
      <c r="G24">
        <v>5</v>
      </c>
      <c r="H24">
        <v>3.7</v>
      </c>
      <c r="I24" t="s">
        <v>27</v>
      </c>
      <c r="J24">
        <f t="shared" si="0"/>
        <v>37</v>
      </c>
      <c r="K24" t="str">
        <f t="shared" si="1"/>
        <v>September</v>
      </c>
      <c r="L24" t="str">
        <f t="shared" si="2"/>
        <v>Negative</v>
      </c>
    </row>
    <row r="25" spans="1:12" x14ac:dyDescent="0.3">
      <c r="A25" s="1">
        <v>45908</v>
      </c>
      <c r="B25" t="s">
        <v>45</v>
      </c>
      <c r="C25" t="s">
        <v>10</v>
      </c>
      <c r="D25">
        <v>2</v>
      </c>
      <c r="E25">
        <v>4</v>
      </c>
      <c r="F25">
        <v>3</v>
      </c>
      <c r="G25">
        <v>4</v>
      </c>
      <c r="H25">
        <v>2.9</v>
      </c>
      <c r="I25" t="s">
        <v>46</v>
      </c>
      <c r="J25">
        <f t="shared" si="0"/>
        <v>37</v>
      </c>
      <c r="K25" t="str">
        <f t="shared" si="1"/>
        <v>September</v>
      </c>
      <c r="L25" t="str">
        <f t="shared" si="2"/>
        <v>Negative</v>
      </c>
    </row>
    <row r="26" spans="1:12" x14ac:dyDescent="0.3">
      <c r="A26" s="1">
        <v>45906</v>
      </c>
      <c r="B26" t="s">
        <v>47</v>
      </c>
      <c r="C26" t="s">
        <v>17</v>
      </c>
      <c r="D26">
        <v>3</v>
      </c>
      <c r="E26">
        <v>5</v>
      </c>
      <c r="F26">
        <v>1</v>
      </c>
      <c r="G26">
        <v>4</v>
      </c>
      <c r="H26">
        <v>3.6</v>
      </c>
      <c r="I26" t="s">
        <v>48</v>
      </c>
      <c r="J26">
        <f t="shared" si="0"/>
        <v>36</v>
      </c>
      <c r="K26" t="str">
        <f t="shared" si="1"/>
        <v>September</v>
      </c>
      <c r="L26" t="str">
        <f t="shared" si="2"/>
        <v>Negative</v>
      </c>
    </row>
    <row r="27" spans="1:12" x14ac:dyDescent="0.3">
      <c r="A27" s="1">
        <v>45907</v>
      </c>
      <c r="B27" t="s">
        <v>49</v>
      </c>
      <c r="C27" t="s">
        <v>17</v>
      </c>
      <c r="D27">
        <v>2</v>
      </c>
      <c r="E27">
        <v>4</v>
      </c>
      <c r="F27">
        <v>5</v>
      </c>
      <c r="G27">
        <v>2</v>
      </c>
      <c r="H27">
        <v>3.4</v>
      </c>
      <c r="I27" t="s">
        <v>13</v>
      </c>
      <c r="J27">
        <f t="shared" si="0"/>
        <v>37</v>
      </c>
      <c r="K27" t="str">
        <f t="shared" si="1"/>
        <v>September</v>
      </c>
      <c r="L27" t="str">
        <f t="shared" si="2"/>
        <v>Negative</v>
      </c>
    </row>
    <row r="28" spans="1:12" x14ac:dyDescent="0.3">
      <c r="A28" s="1">
        <v>45920</v>
      </c>
      <c r="B28" t="s">
        <v>50</v>
      </c>
      <c r="C28" t="s">
        <v>10</v>
      </c>
      <c r="D28">
        <v>2</v>
      </c>
      <c r="E28">
        <v>1</v>
      </c>
      <c r="F28">
        <v>1</v>
      </c>
      <c r="G28">
        <v>3</v>
      </c>
      <c r="H28">
        <v>2.2000000000000002</v>
      </c>
      <c r="I28" t="s">
        <v>25</v>
      </c>
      <c r="J28">
        <f t="shared" si="0"/>
        <v>38</v>
      </c>
      <c r="K28" t="str">
        <f t="shared" si="1"/>
        <v>September</v>
      </c>
      <c r="L28" t="str">
        <f t="shared" si="2"/>
        <v>Negative</v>
      </c>
    </row>
    <row r="29" spans="1:12" x14ac:dyDescent="0.3">
      <c r="A29" s="1">
        <v>45915</v>
      </c>
      <c r="B29" t="s">
        <v>51</v>
      </c>
      <c r="C29" t="s">
        <v>15</v>
      </c>
      <c r="D29">
        <v>3</v>
      </c>
      <c r="E29">
        <v>4</v>
      </c>
      <c r="F29">
        <v>3</v>
      </c>
      <c r="G29">
        <v>4</v>
      </c>
      <c r="H29">
        <v>3.1</v>
      </c>
      <c r="I29" t="s">
        <v>20</v>
      </c>
      <c r="J29">
        <f t="shared" si="0"/>
        <v>38</v>
      </c>
      <c r="K29" t="str">
        <f t="shared" si="1"/>
        <v>September</v>
      </c>
      <c r="L29" t="str">
        <f t="shared" si="2"/>
        <v>Negative</v>
      </c>
    </row>
    <row r="30" spans="1:12" x14ac:dyDescent="0.3">
      <c r="A30" s="1">
        <v>45908</v>
      </c>
      <c r="B30" t="s">
        <v>52</v>
      </c>
      <c r="C30" t="s">
        <v>17</v>
      </c>
      <c r="D30">
        <v>5</v>
      </c>
      <c r="E30">
        <v>2</v>
      </c>
      <c r="F30">
        <v>5</v>
      </c>
      <c r="G30">
        <v>1</v>
      </c>
      <c r="H30">
        <v>2.8</v>
      </c>
      <c r="I30" t="s">
        <v>53</v>
      </c>
      <c r="J30">
        <f t="shared" si="0"/>
        <v>37</v>
      </c>
      <c r="K30" t="str">
        <f t="shared" si="1"/>
        <v>September</v>
      </c>
      <c r="L30" t="str">
        <f t="shared" si="2"/>
        <v>Negative</v>
      </c>
    </row>
    <row r="31" spans="1:12" x14ac:dyDescent="0.3">
      <c r="A31" s="1">
        <v>45911</v>
      </c>
      <c r="B31" t="s">
        <v>54</v>
      </c>
      <c r="C31" t="s">
        <v>15</v>
      </c>
      <c r="D31">
        <v>2</v>
      </c>
      <c r="E31">
        <v>4</v>
      </c>
      <c r="F31">
        <v>2</v>
      </c>
      <c r="G31">
        <v>2</v>
      </c>
      <c r="H31">
        <v>2.2000000000000002</v>
      </c>
      <c r="I31" t="s">
        <v>11</v>
      </c>
      <c r="J31">
        <f t="shared" si="0"/>
        <v>37</v>
      </c>
      <c r="K31" t="str">
        <f t="shared" si="1"/>
        <v>September</v>
      </c>
      <c r="L31" t="str">
        <f t="shared" si="2"/>
        <v>Negative</v>
      </c>
    </row>
    <row r="32" spans="1:12" x14ac:dyDescent="0.3">
      <c r="A32" s="1">
        <v>45903</v>
      </c>
      <c r="B32" t="s">
        <v>55</v>
      </c>
      <c r="C32" t="s">
        <v>17</v>
      </c>
      <c r="D32">
        <v>1</v>
      </c>
      <c r="E32">
        <v>3</v>
      </c>
      <c r="F32">
        <v>2</v>
      </c>
      <c r="G32">
        <v>3</v>
      </c>
      <c r="H32">
        <v>2.4</v>
      </c>
      <c r="I32" t="s">
        <v>30</v>
      </c>
      <c r="J32">
        <f t="shared" si="0"/>
        <v>36</v>
      </c>
      <c r="K32" t="str">
        <f t="shared" si="1"/>
        <v>September</v>
      </c>
      <c r="L32" t="str">
        <f t="shared" si="2"/>
        <v>Negative</v>
      </c>
    </row>
    <row r="33" spans="1:12" x14ac:dyDescent="0.3">
      <c r="A33" s="1">
        <v>45928</v>
      </c>
      <c r="B33" t="s">
        <v>56</v>
      </c>
      <c r="C33" t="s">
        <v>10</v>
      </c>
      <c r="D33">
        <v>3</v>
      </c>
      <c r="E33">
        <v>5</v>
      </c>
      <c r="F33">
        <v>4</v>
      </c>
      <c r="G33">
        <v>5</v>
      </c>
      <c r="H33">
        <v>3.8</v>
      </c>
      <c r="I33" t="s">
        <v>46</v>
      </c>
      <c r="J33">
        <f t="shared" si="0"/>
        <v>40</v>
      </c>
      <c r="K33" t="str">
        <f t="shared" si="1"/>
        <v>September</v>
      </c>
      <c r="L33" t="str">
        <f t="shared" si="2"/>
        <v>Negative</v>
      </c>
    </row>
    <row r="34" spans="1:12" x14ac:dyDescent="0.3">
      <c r="A34" s="1">
        <v>45923</v>
      </c>
      <c r="B34" t="s">
        <v>57</v>
      </c>
      <c r="C34" t="s">
        <v>10</v>
      </c>
      <c r="D34">
        <v>1</v>
      </c>
      <c r="E34">
        <v>3</v>
      </c>
      <c r="F34">
        <v>3</v>
      </c>
      <c r="G34">
        <v>2</v>
      </c>
      <c r="H34">
        <v>2.5</v>
      </c>
      <c r="I34" t="s">
        <v>18</v>
      </c>
      <c r="J34">
        <f t="shared" si="0"/>
        <v>39</v>
      </c>
      <c r="K34" t="str">
        <f t="shared" si="1"/>
        <v>September</v>
      </c>
      <c r="L34" t="str">
        <f t="shared" si="2"/>
        <v>Negative</v>
      </c>
    </row>
    <row r="35" spans="1:12" x14ac:dyDescent="0.3">
      <c r="A35" s="1">
        <v>45914</v>
      </c>
      <c r="B35" t="s">
        <v>58</v>
      </c>
      <c r="C35" t="s">
        <v>10</v>
      </c>
      <c r="D35">
        <v>3</v>
      </c>
      <c r="E35">
        <v>1</v>
      </c>
      <c r="F35">
        <v>1</v>
      </c>
      <c r="G35">
        <v>5</v>
      </c>
      <c r="H35">
        <v>2.4</v>
      </c>
      <c r="I35" t="s">
        <v>22</v>
      </c>
      <c r="J35">
        <f t="shared" si="0"/>
        <v>38</v>
      </c>
      <c r="K35" t="str">
        <f t="shared" si="1"/>
        <v>September</v>
      </c>
      <c r="L35" t="str">
        <f t="shared" si="2"/>
        <v>Negative</v>
      </c>
    </row>
    <row r="36" spans="1:12" x14ac:dyDescent="0.3">
      <c r="A36" s="1">
        <v>45910</v>
      </c>
      <c r="B36" t="s">
        <v>59</v>
      </c>
      <c r="C36" t="s">
        <v>10</v>
      </c>
      <c r="D36">
        <v>4</v>
      </c>
      <c r="E36">
        <v>4</v>
      </c>
      <c r="F36">
        <v>1</v>
      </c>
      <c r="G36">
        <v>4</v>
      </c>
      <c r="H36">
        <v>3</v>
      </c>
      <c r="I36" t="s">
        <v>46</v>
      </c>
      <c r="J36">
        <f t="shared" si="0"/>
        <v>37</v>
      </c>
      <c r="K36" t="str">
        <f t="shared" si="1"/>
        <v>September</v>
      </c>
      <c r="L36" t="str">
        <f t="shared" si="2"/>
        <v>Neutral</v>
      </c>
    </row>
    <row r="37" spans="1:12" x14ac:dyDescent="0.3">
      <c r="A37" s="1">
        <v>45927</v>
      </c>
      <c r="B37" t="s">
        <v>60</v>
      </c>
      <c r="C37" t="s">
        <v>17</v>
      </c>
      <c r="D37">
        <v>4</v>
      </c>
      <c r="E37">
        <v>1</v>
      </c>
      <c r="F37">
        <v>4</v>
      </c>
      <c r="G37">
        <v>1</v>
      </c>
      <c r="H37">
        <v>2.2000000000000002</v>
      </c>
      <c r="I37" t="s">
        <v>20</v>
      </c>
      <c r="J37">
        <f t="shared" si="0"/>
        <v>39</v>
      </c>
      <c r="K37" t="str">
        <f t="shared" si="1"/>
        <v>September</v>
      </c>
      <c r="L37" t="str">
        <f t="shared" si="2"/>
        <v>Negative</v>
      </c>
    </row>
    <row r="38" spans="1:12" x14ac:dyDescent="0.3">
      <c r="A38" s="1">
        <v>45912</v>
      </c>
      <c r="B38" t="s">
        <v>61</v>
      </c>
      <c r="C38" t="s">
        <v>17</v>
      </c>
      <c r="D38">
        <v>2</v>
      </c>
      <c r="E38">
        <v>3</v>
      </c>
      <c r="F38">
        <v>2</v>
      </c>
      <c r="G38">
        <v>3</v>
      </c>
      <c r="H38">
        <v>2.1</v>
      </c>
      <c r="I38" t="s">
        <v>36</v>
      </c>
      <c r="J38">
        <f t="shared" si="0"/>
        <v>37</v>
      </c>
      <c r="K38" t="str">
        <f t="shared" si="1"/>
        <v>September</v>
      </c>
      <c r="L38" t="str">
        <f t="shared" si="2"/>
        <v>Negative</v>
      </c>
    </row>
    <row r="39" spans="1:12" x14ac:dyDescent="0.3">
      <c r="A39" s="1">
        <v>45923</v>
      </c>
      <c r="B39" t="s">
        <v>62</v>
      </c>
      <c r="C39" t="s">
        <v>17</v>
      </c>
      <c r="D39">
        <v>4</v>
      </c>
      <c r="E39">
        <v>2</v>
      </c>
      <c r="F39">
        <v>2</v>
      </c>
      <c r="G39">
        <v>4</v>
      </c>
      <c r="H39">
        <v>3.3</v>
      </c>
      <c r="I39" t="s">
        <v>48</v>
      </c>
      <c r="J39">
        <f t="shared" si="0"/>
        <v>39</v>
      </c>
      <c r="K39" t="str">
        <f t="shared" si="1"/>
        <v>September</v>
      </c>
      <c r="L39" t="str">
        <f t="shared" si="2"/>
        <v>Negative</v>
      </c>
    </row>
    <row r="40" spans="1:12" x14ac:dyDescent="0.3">
      <c r="A40" s="1">
        <v>45923</v>
      </c>
      <c r="B40" t="s">
        <v>63</v>
      </c>
      <c r="C40" t="s">
        <v>15</v>
      </c>
      <c r="D40">
        <v>5</v>
      </c>
      <c r="E40">
        <v>2</v>
      </c>
      <c r="F40">
        <v>2</v>
      </c>
      <c r="G40">
        <v>2</v>
      </c>
      <c r="H40">
        <v>2.4</v>
      </c>
      <c r="I40" t="s">
        <v>48</v>
      </c>
      <c r="J40">
        <f t="shared" si="0"/>
        <v>39</v>
      </c>
      <c r="K40" t="str">
        <f t="shared" si="1"/>
        <v>September</v>
      </c>
      <c r="L40" t="str">
        <f t="shared" si="2"/>
        <v>Negative</v>
      </c>
    </row>
    <row r="41" spans="1:12" x14ac:dyDescent="0.3">
      <c r="A41" s="1">
        <v>45905</v>
      </c>
      <c r="B41" t="s">
        <v>64</v>
      </c>
      <c r="C41" t="s">
        <v>10</v>
      </c>
      <c r="D41">
        <v>5</v>
      </c>
      <c r="E41">
        <v>5</v>
      </c>
      <c r="F41">
        <v>3</v>
      </c>
      <c r="G41">
        <v>4</v>
      </c>
      <c r="H41">
        <v>4.0999999999999996</v>
      </c>
      <c r="I41" t="s">
        <v>11</v>
      </c>
      <c r="J41">
        <f t="shared" si="0"/>
        <v>36</v>
      </c>
      <c r="K41" t="str">
        <f t="shared" si="1"/>
        <v>September</v>
      </c>
      <c r="L41" t="str">
        <f t="shared" si="2"/>
        <v>Positive</v>
      </c>
    </row>
    <row r="42" spans="1:12" x14ac:dyDescent="0.3">
      <c r="A42" s="1">
        <v>45906</v>
      </c>
      <c r="B42" t="s">
        <v>65</v>
      </c>
      <c r="C42" t="s">
        <v>10</v>
      </c>
      <c r="D42">
        <v>3</v>
      </c>
      <c r="E42">
        <v>1</v>
      </c>
      <c r="F42">
        <v>4</v>
      </c>
      <c r="G42">
        <v>5</v>
      </c>
      <c r="H42">
        <v>3.4</v>
      </c>
      <c r="I42" t="s">
        <v>11</v>
      </c>
      <c r="J42">
        <f t="shared" si="0"/>
        <v>36</v>
      </c>
      <c r="K42" t="str">
        <f t="shared" si="1"/>
        <v>September</v>
      </c>
      <c r="L42" t="str">
        <f t="shared" si="2"/>
        <v>Negative</v>
      </c>
    </row>
    <row r="43" spans="1:12" x14ac:dyDescent="0.3">
      <c r="A43" s="1">
        <v>45903</v>
      </c>
      <c r="B43" t="s">
        <v>66</v>
      </c>
      <c r="C43" t="s">
        <v>15</v>
      </c>
      <c r="D43">
        <v>2</v>
      </c>
      <c r="E43">
        <v>4</v>
      </c>
      <c r="F43">
        <v>3</v>
      </c>
      <c r="G43">
        <v>1</v>
      </c>
      <c r="H43">
        <v>2.7</v>
      </c>
      <c r="I43" t="s">
        <v>11</v>
      </c>
      <c r="J43">
        <f t="shared" si="0"/>
        <v>36</v>
      </c>
      <c r="K43" t="str">
        <f t="shared" si="1"/>
        <v>September</v>
      </c>
      <c r="L43" t="str">
        <f t="shared" si="2"/>
        <v>Negative</v>
      </c>
    </row>
    <row r="44" spans="1:12" x14ac:dyDescent="0.3">
      <c r="A44" s="1">
        <v>45921</v>
      </c>
      <c r="B44" t="s">
        <v>67</v>
      </c>
      <c r="C44" t="s">
        <v>10</v>
      </c>
      <c r="D44">
        <v>5</v>
      </c>
      <c r="E44">
        <v>4</v>
      </c>
      <c r="F44">
        <v>1</v>
      </c>
      <c r="G44">
        <v>1</v>
      </c>
      <c r="H44">
        <v>3.2</v>
      </c>
      <c r="I44" t="s">
        <v>20</v>
      </c>
      <c r="J44">
        <f t="shared" si="0"/>
        <v>39</v>
      </c>
      <c r="K44" t="str">
        <f t="shared" si="1"/>
        <v>September</v>
      </c>
      <c r="L44" t="str">
        <f t="shared" si="2"/>
        <v>Negative</v>
      </c>
    </row>
    <row r="45" spans="1:12" x14ac:dyDescent="0.3">
      <c r="A45" s="1">
        <v>45905</v>
      </c>
      <c r="B45" t="s">
        <v>68</v>
      </c>
      <c r="C45" t="s">
        <v>15</v>
      </c>
      <c r="D45">
        <v>1</v>
      </c>
      <c r="E45">
        <v>2</v>
      </c>
      <c r="F45">
        <v>5</v>
      </c>
      <c r="G45">
        <v>5</v>
      </c>
      <c r="H45">
        <v>3.1</v>
      </c>
      <c r="I45" t="s">
        <v>11</v>
      </c>
      <c r="J45">
        <f t="shared" si="0"/>
        <v>36</v>
      </c>
      <c r="K45" t="str">
        <f t="shared" si="1"/>
        <v>September</v>
      </c>
      <c r="L45" t="str">
        <f t="shared" si="2"/>
        <v>Negative</v>
      </c>
    </row>
    <row r="46" spans="1:12" x14ac:dyDescent="0.3">
      <c r="A46" s="1">
        <v>45913</v>
      </c>
      <c r="B46" t="s">
        <v>69</v>
      </c>
      <c r="C46" t="s">
        <v>15</v>
      </c>
      <c r="D46">
        <v>2</v>
      </c>
      <c r="E46">
        <v>1</v>
      </c>
      <c r="F46">
        <v>4</v>
      </c>
      <c r="G46">
        <v>5</v>
      </c>
      <c r="H46">
        <v>3.3</v>
      </c>
      <c r="I46" t="s">
        <v>33</v>
      </c>
      <c r="J46">
        <f t="shared" si="0"/>
        <v>37</v>
      </c>
      <c r="K46" t="str">
        <f t="shared" si="1"/>
        <v>September</v>
      </c>
      <c r="L46" t="str">
        <f t="shared" si="2"/>
        <v>Negative</v>
      </c>
    </row>
    <row r="47" spans="1:12" x14ac:dyDescent="0.3">
      <c r="A47" s="1">
        <v>45905</v>
      </c>
      <c r="B47" t="s">
        <v>70</v>
      </c>
      <c r="C47" t="s">
        <v>10</v>
      </c>
      <c r="D47">
        <v>1</v>
      </c>
      <c r="E47">
        <v>1</v>
      </c>
      <c r="F47">
        <v>1</v>
      </c>
      <c r="G47">
        <v>4</v>
      </c>
      <c r="H47">
        <v>1.3</v>
      </c>
      <c r="I47" t="s">
        <v>18</v>
      </c>
      <c r="J47">
        <f t="shared" si="0"/>
        <v>36</v>
      </c>
      <c r="K47" t="str">
        <f t="shared" si="1"/>
        <v>September</v>
      </c>
      <c r="L47" t="str">
        <f t="shared" si="2"/>
        <v>Negative</v>
      </c>
    </row>
    <row r="48" spans="1:12" x14ac:dyDescent="0.3">
      <c r="A48" s="1">
        <v>45921</v>
      </c>
      <c r="B48" t="s">
        <v>71</v>
      </c>
      <c r="C48" t="s">
        <v>17</v>
      </c>
      <c r="D48">
        <v>3</v>
      </c>
      <c r="E48">
        <v>2</v>
      </c>
      <c r="F48">
        <v>3</v>
      </c>
      <c r="G48">
        <v>3</v>
      </c>
      <c r="H48">
        <v>3</v>
      </c>
      <c r="I48" t="s">
        <v>18</v>
      </c>
      <c r="J48">
        <f t="shared" si="0"/>
        <v>39</v>
      </c>
      <c r="K48" t="str">
        <f t="shared" si="1"/>
        <v>September</v>
      </c>
      <c r="L48" t="str">
        <f t="shared" si="2"/>
        <v>Neutral</v>
      </c>
    </row>
    <row r="49" spans="1:12" x14ac:dyDescent="0.3">
      <c r="A49" s="1">
        <v>45902</v>
      </c>
      <c r="B49" t="s">
        <v>72</v>
      </c>
      <c r="C49" t="s">
        <v>17</v>
      </c>
      <c r="D49">
        <v>3</v>
      </c>
      <c r="E49">
        <v>1</v>
      </c>
      <c r="F49">
        <v>2</v>
      </c>
      <c r="G49">
        <v>1</v>
      </c>
      <c r="H49">
        <v>1.4</v>
      </c>
      <c r="I49" t="s">
        <v>18</v>
      </c>
      <c r="J49">
        <f t="shared" si="0"/>
        <v>36</v>
      </c>
      <c r="K49" t="str">
        <f t="shared" si="1"/>
        <v>September</v>
      </c>
      <c r="L49" t="str">
        <f t="shared" si="2"/>
        <v>Negative</v>
      </c>
    </row>
    <row r="50" spans="1:12" x14ac:dyDescent="0.3">
      <c r="A50" s="1">
        <v>45911</v>
      </c>
      <c r="B50" t="s">
        <v>73</v>
      </c>
      <c r="C50" t="s">
        <v>10</v>
      </c>
      <c r="D50">
        <v>2</v>
      </c>
      <c r="E50">
        <v>4</v>
      </c>
      <c r="F50">
        <v>5</v>
      </c>
      <c r="G50">
        <v>2</v>
      </c>
      <c r="H50">
        <v>2.8</v>
      </c>
      <c r="I50" t="s">
        <v>74</v>
      </c>
      <c r="J50">
        <f t="shared" si="0"/>
        <v>37</v>
      </c>
      <c r="K50" t="str">
        <f t="shared" si="1"/>
        <v>September</v>
      </c>
      <c r="L50" t="str">
        <f t="shared" si="2"/>
        <v>Negative</v>
      </c>
    </row>
    <row r="51" spans="1:12" x14ac:dyDescent="0.3">
      <c r="A51" s="1">
        <v>45913</v>
      </c>
      <c r="B51" t="s">
        <v>75</v>
      </c>
      <c r="C51" t="s">
        <v>15</v>
      </c>
      <c r="D51">
        <v>1</v>
      </c>
      <c r="E51">
        <v>4</v>
      </c>
      <c r="F51">
        <v>1</v>
      </c>
      <c r="G51">
        <v>5</v>
      </c>
      <c r="H51">
        <v>3.1</v>
      </c>
      <c r="I51" t="s">
        <v>33</v>
      </c>
      <c r="J51">
        <f t="shared" si="0"/>
        <v>37</v>
      </c>
      <c r="K51" t="str">
        <f t="shared" si="1"/>
        <v>September</v>
      </c>
      <c r="L51" t="str">
        <f t="shared" si="2"/>
        <v>Negative</v>
      </c>
    </row>
    <row r="52" spans="1:12" x14ac:dyDescent="0.3">
      <c r="A52" s="1">
        <v>45901</v>
      </c>
      <c r="B52" t="s">
        <v>76</v>
      </c>
      <c r="C52" t="s">
        <v>17</v>
      </c>
      <c r="D52">
        <v>4</v>
      </c>
      <c r="E52">
        <v>4</v>
      </c>
      <c r="F52">
        <v>4</v>
      </c>
      <c r="G52">
        <v>5</v>
      </c>
      <c r="H52">
        <v>4.5999999999999996</v>
      </c>
      <c r="I52" t="s">
        <v>77</v>
      </c>
      <c r="J52">
        <f t="shared" si="0"/>
        <v>36</v>
      </c>
      <c r="K52" t="str">
        <f t="shared" si="1"/>
        <v>September</v>
      </c>
      <c r="L52" t="str">
        <f t="shared" si="2"/>
        <v>Positive</v>
      </c>
    </row>
    <row r="53" spans="1:12" x14ac:dyDescent="0.3">
      <c r="A53" s="1">
        <v>45904</v>
      </c>
      <c r="B53" t="s">
        <v>78</v>
      </c>
      <c r="C53" t="s">
        <v>10</v>
      </c>
      <c r="D53">
        <v>5</v>
      </c>
      <c r="E53">
        <v>4</v>
      </c>
      <c r="F53">
        <v>4</v>
      </c>
      <c r="G53">
        <v>5</v>
      </c>
      <c r="H53">
        <v>4.5999999999999996</v>
      </c>
      <c r="I53" t="s">
        <v>27</v>
      </c>
      <c r="J53">
        <f t="shared" si="0"/>
        <v>36</v>
      </c>
      <c r="K53" t="str">
        <f t="shared" si="1"/>
        <v>September</v>
      </c>
      <c r="L53" t="str">
        <f t="shared" si="2"/>
        <v>Positive</v>
      </c>
    </row>
    <row r="54" spans="1:12" x14ac:dyDescent="0.3">
      <c r="A54" s="1">
        <v>45911</v>
      </c>
      <c r="B54" t="s">
        <v>79</v>
      </c>
      <c r="C54" t="s">
        <v>10</v>
      </c>
      <c r="D54">
        <v>4</v>
      </c>
      <c r="E54">
        <v>5</v>
      </c>
      <c r="F54">
        <v>1</v>
      </c>
      <c r="G54">
        <v>4</v>
      </c>
      <c r="H54">
        <v>3.5</v>
      </c>
      <c r="I54" t="s">
        <v>33</v>
      </c>
      <c r="J54">
        <f t="shared" si="0"/>
        <v>37</v>
      </c>
      <c r="K54" t="str">
        <f t="shared" si="1"/>
        <v>September</v>
      </c>
      <c r="L54" t="str">
        <f t="shared" si="2"/>
        <v>Negative</v>
      </c>
    </row>
    <row r="55" spans="1:12" x14ac:dyDescent="0.3">
      <c r="A55" s="1">
        <v>45924</v>
      </c>
      <c r="B55" t="s">
        <v>80</v>
      </c>
      <c r="C55" t="s">
        <v>17</v>
      </c>
      <c r="D55">
        <v>1</v>
      </c>
      <c r="E55">
        <v>4</v>
      </c>
      <c r="F55">
        <v>2</v>
      </c>
      <c r="G55">
        <v>1</v>
      </c>
      <c r="H55">
        <v>1.6</v>
      </c>
      <c r="I55" t="s">
        <v>25</v>
      </c>
      <c r="J55">
        <f t="shared" si="0"/>
        <v>39</v>
      </c>
      <c r="K55" t="str">
        <f t="shared" si="1"/>
        <v>September</v>
      </c>
      <c r="L55" t="str">
        <f t="shared" si="2"/>
        <v>Negative</v>
      </c>
    </row>
    <row r="56" spans="1:12" x14ac:dyDescent="0.3">
      <c r="A56" s="1">
        <v>45920</v>
      </c>
      <c r="B56" t="s">
        <v>81</v>
      </c>
      <c r="C56" t="s">
        <v>17</v>
      </c>
      <c r="D56">
        <v>2</v>
      </c>
      <c r="E56">
        <v>4</v>
      </c>
      <c r="F56">
        <v>3</v>
      </c>
      <c r="G56">
        <v>2</v>
      </c>
      <c r="H56">
        <v>2.9</v>
      </c>
      <c r="I56" t="s">
        <v>13</v>
      </c>
      <c r="J56">
        <f t="shared" si="0"/>
        <v>38</v>
      </c>
      <c r="K56" t="str">
        <f t="shared" si="1"/>
        <v>September</v>
      </c>
      <c r="L56" t="str">
        <f t="shared" si="2"/>
        <v>Negative</v>
      </c>
    </row>
    <row r="57" spans="1:12" x14ac:dyDescent="0.3">
      <c r="A57" s="1">
        <v>45930</v>
      </c>
      <c r="B57" t="s">
        <v>82</v>
      </c>
      <c r="C57" t="s">
        <v>17</v>
      </c>
      <c r="D57">
        <v>3</v>
      </c>
      <c r="E57">
        <v>5</v>
      </c>
      <c r="F57">
        <v>2</v>
      </c>
      <c r="G57">
        <v>5</v>
      </c>
      <c r="H57">
        <v>3.3</v>
      </c>
      <c r="I57" t="s">
        <v>20</v>
      </c>
      <c r="J57">
        <f t="shared" si="0"/>
        <v>40</v>
      </c>
      <c r="K57" t="str">
        <f t="shared" si="1"/>
        <v>September</v>
      </c>
      <c r="L57" t="str">
        <f t="shared" si="2"/>
        <v>Negative</v>
      </c>
    </row>
    <row r="58" spans="1:12" x14ac:dyDescent="0.3">
      <c r="A58" s="1">
        <v>45931</v>
      </c>
      <c r="B58" t="s">
        <v>83</v>
      </c>
      <c r="C58" t="s">
        <v>15</v>
      </c>
      <c r="D58">
        <v>4</v>
      </c>
      <c r="E58">
        <v>1</v>
      </c>
      <c r="F58">
        <v>2</v>
      </c>
      <c r="G58">
        <v>5</v>
      </c>
      <c r="H58">
        <v>3.2</v>
      </c>
      <c r="I58" t="s">
        <v>22</v>
      </c>
      <c r="J58">
        <f t="shared" si="0"/>
        <v>40</v>
      </c>
      <c r="K58" t="str">
        <f t="shared" si="1"/>
        <v>October</v>
      </c>
      <c r="L58" t="str">
        <f t="shared" si="2"/>
        <v>Negative</v>
      </c>
    </row>
    <row r="59" spans="1:12" x14ac:dyDescent="0.3">
      <c r="A59" s="1">
        <v>45916</v>
      </c>
      <c r="B59" t="s">
        <v>84</v>
      </c>
      <c r="C59" t="s">
        <v>17</v>
      </c>
      <c r="D59">
        <v>3</v>
      </c>
      <c r="E59">
        <v>4</v>
      </c>
      <c r="F59">
        <v>3</v>
      </c>
      <c r="G59">
        <v>1</v>
      </c>
      <c r="H59">
        <v>2.4</v>
      </c>
      <c r="I59" t="s">
        <v>20</v>
      </c>
      <c r="J59">
        <f t="shared" si="0"/>
        <v>38</v>
      </c>
      <c r="K59" t="str">
        <f t="shared" si="1"/>
        <v>September</v>
      </c>
      <c r="L59" t="str">
        <f t="shared" si="2"/>
        <v>Negative</v>
      </c>
    </row>
    <row r="60" spans="1:12" x14ac:dyDescent="0.3">
      <c r="A60" s="1">
        <v>45903</v>
      </c>
      <c r="B60" t="s">
        <v>85</v>
      </c>
      <c r="C60" t="s">
        <v>15</v>
      </c>
      <c r="D60">
        <v>4</v>
      </c>
      <c r="E60">
        <v>1</v>
      </c>
      <c r="F60">
        <v>5</v>
      </c>
      <c r="G60">
        <v>3</v>
      </c>
      <c r="H60">
        <v>3.3</v>
      </c>
      <c r="I60" t="s">
        <v>46</v>
      </c>
      <c r="J60">
        <f t="shared" si="0"/>
        <v>36</v>
      </c>
      <c r="K60" t="str">
        <f t="shared" si="1"/>
        <v>September</v>
      </c>
      <c r="L60" t="str">
        <f t="shared" si="2"/>
        <v>Negative</v>
      </c>
    </row>
    <row r="61" spans="1:12" x14ac:dyDescent="0.3">
      <c r="A61" s="1">
        <v>45921</v>
      </c>
      <c r="B61" t="s">
        <v>86</v>
      </c>
      <c r="C61" t="s">
        <v>15</v>
      </c>
      <c r="D61">
        <v>4</v>
      </c>
      <c r="E61">
        <v>2</v>
      </c>
      <c r="F61">
        <v>3</v>
      </c>
      <c r="G61">
        <v>4</v>
      </c>
      <c r="H61">
        <v>3.4</v>
      </c>
      <c r="I61" t="s">
        <v>46</v>
      </c>
      <c r="J61">
        <f t="shared" si="0"/>
        <v>39</v>
      </c>
      <c r="K61" t="str">
        <f t="shared" si="1"/>
        <v>September</v>
      </c>
      <c r="L61" t="str">
        <f t="shared" si="2"/>
        <v>Negative</v>
      </c>
    </row>
    <row r="62" spans="1:12" x14ac:dyDescent="0.3">
      <c r="A62" s="1">
        <v>45931</v>
      </c>
      <c r="B62" t="s">
        <v>87</v>
      </c>
      <c r="C62" t="s">
        <v>10</v>
      </c>
      <c r="D62">
        <v>3</v>
      </c>
      <c r="E62">
        <v>4</v>
      </c>
      <c r="F62">
        <v>5</v>
      </c>
      <c r="G62">
        <v>3</v>
      </c>
      <c r="H62">
        <v>3.6</v>
      </c>
      <c r="I62" t="s">
        <v>25</v>
      </c>
      <c r="J62">
        <f t="shared" si="0"/>
        <v>40</v>
      </c>
      <c r="K62" t="str">
        <f t="shared" si="1"/>
        <v>October</v>
      </c>
      <c r="L62" t="str">
        <f t="shared" si="2"/>
        <v>Negative</v>
      </c>
    </row>
    <row r="63" spans="1:12" x14ac:dyDescent="0.3">
      <c r="A63" s="1">
        <v>45927</v>
      </c>
      <c r="B63" t="s">
        <v>88</v>
      </c>
      <c r="C63" t="s">
        <v>17</v>
      </c>
      <c r="D63">
        <v>3</v>
      </c>
      <c r="E63">
        <v>2</v>
      </c>
      <c r="F63">
        <v>3</v>
      </c>
      <c r="G63">
        <v>3</v>
      </c>
      <c r="H63">
        <v>2.6</v>
      </c>
      <c r="I63" t="s">
        <v>46</v>
      </c>
      <c r="J63">
        <f t="shared" si="0"/>
        <v>39</v>
      </c>
      <c r="K63" t="str">
        <f t="shared" si="1"/>
        <v>September</v>
      </c>
      <c r="L63" t="str">
        <f t="shared" si="2"/>
        <v>Negative</v>
      </c>
    </row>
    <row r="64" spans="1:12" x14ac:dyDescent="0.3">
      <c r="A64" s="1">
        <v>45926</v>
      </c>
      <c r="B64" t="s">
        <v>89</v>
      </c>
      <c r="C64" t="s">
        <v>15</v>
      </c>
      <c r="D64">
        <v>4</v>
      </c>
      <c r="E64">
        <v>2</v>
      </c>
      <c r="F64">
        <v>3</v>
      </c>
      <c r="G64">
        <v>4</v>
      </c>
      <c r="H64">
        <v>3.1</v>
      </c>
      <c r="I64" t="s">
        <v>48</v>
      </c>
      <c r="J64">
        <f t="shared" si="0"/>
        <v>39</v>
      </c>
      <c r="K64" t="str">
        <f t="shared" si="1"/>
        <v>September</v>
      </c>
      <c r="L64" t="str">
        <f t="shared" si="2"/>
        <v>Negative</v>
      </c>
    </row>
    <row r="65" spans="1:12" x14ac:dyDescent="0.3">
      <c r="A65" s="1">
        <v>45904</v>
      </c>
      <c r="B65" t="s">
        <v>90</v>
      </c>
      <c r="C65" t="s">
        <v>10</v>
      </c>
      <c r="D65">
        <v>4</v>
      </c>
      <c r="E65">
        <v>1</v>
      </c>
      <c r="F65">
        <v>2</v>
      </c>
      <c r="G65">
        <v>5</v>
      </c>
      <c r="H65">
        <v>2.7</v>
      </c>
      <c r="I65" t="s">
        <v>33</v>
      </c>
      <c r="J65">
        <f t="shared" si="0"/>
        <v>36</v>
      </c>
      <c r="K65" t="str">
        <f t="shared" si="1"/>
        <v>September</v>
      </c>
      <c r="L65" t="str">
        <f t="shared" si="2"/>
        <v>Negative</v>
      </c>
    </row>
    <row r="66" spans="1:12" x14ac:dyDescent="0.3">
      <c r="A66" s="1">
        <v>45905</v>
      </c>
      <c r="B66" t="s">
        <v>91</v>
      </c>
      <c r="C66" t="s">
        <v>15</v>
      </c>
      <c r="D66">
        <v>4</v>
      </c>
      <c r="E66">
        <v>4</v>
      </c>
      <c r="F66">
        <v>3</v>
      </c>
      <c r="G66">
        <v>4</v>
      </c>
      <c r="H66">
        <v>3.4</v>
      </c>
      <c r="I66" t="s">
        <v>20</v>
      </c>
      <c r="J66">
        <f t="shared" si="0"/>
        <v>36</v>
      </c>
      <c r="K66" t="str">
        <f t="shared" si="1"/>
        <v>September</v>
      </c>
      <c r="L66" t="str">
        <f t="shared" si="2"/>
        <v>Negative</v>
      </c>
    </row>
    <row r="67" spans="1:12" x14ac:dyDescent="0.3">
      <c r="A67" s="1">
        <v>45919</v>
      </c>
      <c r="B67" t="s">
        <v>92</v>
      </c>
      <c r="C67" t="s">
        <v>17</v>
      </c>
      <c r="D67">
        <v>2</v>
      </c>
      <c r="E67">
        <v>2</v>
      </c>
      <c r="F67">
        <v>2</v>
      </c>
      <c r="G67">
        <v>2</v>
      </c>
      <c r="H67">
        <v>2.4</v>
      </c>
      <c r="I67" t="s">
        <v>48</v>
      </c>
      <c r="J67">
        <f t="shared" ref="J67:J101" si="3">WEEKNUM(A67)</f>
        <v>38</v>
      </c>
      <c r="K67" t="str">
        <f t="shared" ref="K67:K101" si="4">TEXT(A67,"MMMM")</f>
        <v>September</v>
      </c>
      <c r="L67" t="str">
        <f t="shared" ref="L67:L101" si="5">IF(H67&gt;=4,"Positive",IF(H67=3,"Neutral","Negative"))</f>
        <v>Negative</v>
      </c>
    </row>
    <row r="68" spans="1:12" x14ac:dyDescent="0.3">
      <c r="A68" s="1">
        <v>45919</v>
      </c>
      <c r="B68" t="s">
        <v>93</v>
      </c>
      <c r="C68" t="s">
        <v>10</v>
      </c>
      <c r="D68">
        <v>1</v>
      </c>
      <c r="E68">
        <v>5</v>
      </c>
      <c r="F68">
        <v>5</v>
      </c>
      <c r="G68">
        <v>3</v>
      </c>
      <c r="H68">
        <v>3.2</v>
      </c>
      <c r="I68" t="s">
        <v>48</v>
      </c>
      <c r="J68">
        <f t="shared" si="3"/>
        <v>38</v>
      </c>
      <c r="K68" t="str">
        <f t="shared" si="4"/>
        <v>September</v>
      </c>
      <c r="L68" t="str">
        <f t="shared" si="5"/>
        <v>Negative</v>
      </c>
    </row>
    <row r="69" spans="1:12" x14ac:dyDescent="0.3">
      <c r="A69" s="1">
        <v>45928</v>
      </c>
      <c r="B69" t="s">
        <v>94</v>
      </c>
      <c r="C69" t="s">
        <v>10</v>
      </c>
      <c r="D69">
        <v>5</v>
      </c>
      <c r="E69">
        <v>1</v>
      </c>
      <c r="F69">
        <v>4</v>
      </c>
      <c r="G69">
        <v>5</v>
      </c>
      <c r="H69">
        <v>4.2</v>
      </c>
      <c r="I69" t="s">
        <v>48</v>
      </c>
      <c r="J69">
        <f t="shared" si="3"/>
        <v>40</v>
      </c>
      <c r="K69" t="str">
        <f t="shared" si="4"/>
        <v>September</v>
      </c>
      <c r="L69" t="str">
        <f t="shared" si="5"/>
        <v>Positive</v>
      </c>
    </row>
    <row r="70" spans="1:12" x14ac:dyDescent="0.3">
      <c r="A70" s="1">
        <v>45901</v>
      </c>
      <c r="B70" t="s">
        <v>95</v>
      </c>
      <c r="C70" t="s">
        <v>15</v>
      </c>
      <c r="D70">
        <v>4</v>
      </c>
      <c r="E70">
        <v>5</v>
      </c>
      <c r="F70">
        <v>1</v>
      </c>
      <c r="G70">
        <v>3</v>
      </c>
      <c r="H70">
        <v>3</v>
      </c>
      <c r="I70" t="s">
        <v>30</v>
      </c>
      <c r="J70">
        <f t="shared" si="3"/>
        <v>36</v>
      </c>
      <c r="K70" t="str">
        <f t="shared" si="4"/>
        <v>September</v>
      </c>
      <c r="L70" t="str">
        <f t="shared" si="5"/>
        <v>Neutral</v>
      </c>
    </row>
    <row r="71" spans="1:12" x14ac:dyDescent="0.3">
      <c r="A71" s="1">
        <v>45913</v>
      </c>
      <c r="B71" t="s">
        <v>96</v>
      </c>
      <c r="C71" t="s">
        <v>10</v>
      </c>
      <c r="D71">
        <v>4</v>
      </c>
      <c r="E71">
        <v>2</v>
      </c>
      <c r="F71">
        <v>4</v>
      </c>
      <c r="G71">
        <v>4</v>
      </c>
      <c r="H71">
        <v>3.4</v>
      </c>
      <c r="I71" t="s">
        <v>74</v>
      </c>
      <c r="J71">
        <f t="shared" si="3"/>
        <v>37</v>
      </c>
      <c r="K71" t="str">
        <f t="shared" si="4"/>
        <v>September</v>
      </c>
      <c r="L71" t="str">
        <f t="shared" si="5"/>
        <v>Negative</v>
      </c>
    </row>
    <row r="72" spans="1:12" x14ac:dyDescent="0.3">
      <c r="A72" s="1">
        <v>45908</v>
      </c>
      <c r="B72" t="s">
        <v>97</v>
      </c>
      <c r="C72" t="s">
        <v>17</v>
      </c>
      <c r="D72">
        <v>5</v>
      </c>
      <c r="E72">
        <v>1</v>
      </c>
      <c r="F72">
        <v>2</v>
      </c>
      <c r="G72">
        <v>5</v>
      </c>
      <c r="H72">
        <v>3.4</v>
      </c>
      <c r="I72" t="s">
        <v>27</v>
      </c>
      <c r="J72">
        <f t="shared" si="3"/>
        <v>37</v>
      </c>
      <c r="K72" t="str">
        <f t="shared" si="4"/>
        <v>September</v>
      </c>
      <c r="L72" t="str">
        <f t="shared" si="5"/>
        <v>Negative</v>
      </c>
    </row>
    <row r="73" spans="1:12" x14ac:dyDescent="0.3">
      <c r="A73" s="1">
        <v>45903</v>
      </c>
      <c r="B73" t="s">
        <v>98</v>
      </c>
      <c r="C73" t="s">
        <v>15</v>
      </c>
      <c r="D73">
        <v>5</v>
      </c>
      <c r="E73">
        <v>3</v>
      </c>
      <c r="F73">
        <v>5</v>
      </c>
      <c r="G73">
        <v>1</v>
      </c>
      <c r="H73">
        <v>3.5</v>
      </c>
      <c r="I73" t="s">
        <v>74</v>
      </c>
      <c r="J73">
        <f t="shared" si="3"/>
        <v>36</v>
      </c>
      <c r="K73" t="str">
        <f t="shared" si="4"/>
        <v>September</v>
      </c>
      <c r="L73" t="str">
        <f t="shared" si="5"/>
        <v>Negative</v>
      </c>
    </row>
    <row r="74" spans="1:12" x14ac:dyDescent="0.3">
      <c r="A74" s="1">
        <v>45927</v>
      </c>
      <c r="B74" t="s">
        <v>99</v>
      </c>
      <c r="C74" t="s">
        <v>17</v>
      </c>
      <c r="D74">
        <v>3</v>
      </c>
      <c r="E74">
        <v>4</v>
      </c>
      <c r="F74">
        <v>3</v>
      </c>
      <c r="G74">
        <v>1</v>
      </c>
      <c r="H74">
        <v>2.6</v>
      </c>
      <c r="I74" t="s">
        <v>77</v>
      </c>
      <c r="J74">
        <f t="shared" si="3"/>
        <v>39</v>
      </c>
      <c r="K74" t="str">
        <f t="shared" si="4"/>
        <v>September</v>
      </c>
      <c r="L74" t="str">
        <f t="shared" si="5"/>
        <v>Negative</v>
      </c>
    </row>
    <row r="75" spans="1:12" x14ac:dyDescent="0.3">
      <c r="A75" s="1">
        <v>45931</v>
      </c>
      <c r="B75" t="s">
        <v>100</v>
      </c>
      <c r="C75" t="s">
        <v>10</v>
      </c>
      <c r="D75">
        <v>1</v>
      </c>
      <c r="E75">
        <v>3</v>
      </c>
      <c r="F75">
        <v>4</v>
      </c>
      <c r="G75">
        <v>1</v>
      </c>
      <c r="H75">
        <v>2.6</v>
      </c>
      <c r="I75" t="s">
        <v>27</v>
      </c>
      <c r="J75">
        <f t="shared" si="3"/>
        <v>40</v>
      </c>
      <c r="K75" t="str">
        <f t="shared" si="4"/>
        <v>October</v>
      </c>
      <c r="L75" t="str">
        <f t="shared" si="5"/>
        <v>Negative</v>
      </c>
    </row>
    <row r="76" spans="1:12" x14ac:dyDescent="0.3">
      <c r="A76" s="1">
        <v>45909</v>
      </c>
      <c r="B76" t="s">
        <v>101</v>
      </c>
      <c r="C76" t="s">
        <v>15</v>
      </c>
      <c r="D76">
        <v>3</v>
      </c>
      <c r="E76">
        <v>4</v>
      </c>
      <c r="F76">
        <v>2</v>
      </c>
      <c r="G76">
        <v>3</v>
      </c>
      <c r="H76">
        <v>2.6</v>
      </c>
      <c r="I76" t="s">
        <v>53</v>
      </c>
      <c r="J76">
        <f t="shared" si="3"/>
        <v>37</v>
      </c>
      <c r="K76" t="str">
        <f t="shared" si="4"/>
        <v>September</v>
      </c>
      <c r="L76" t="str">
        <f t="shared" si="5"/>
        <v>Negative</v>
      </c>
    </row>
    <row r="77" spans="1:12" x14ac:dyDescent="0.3">
      <c r="A77" s="1">
        <v>45922</v>
      </c>
      <c r="B77" t="s">
        <v>102</v>
      </c>
      <c r="C77" t="s">
        <v>10</v>
      </c>
      <c r="D77">
        <v>2</v>
      </c>
      <c r="E77">
        <v>2</v>
      </c>
      <c r="F77">
        <v>2</v>
      </c>
      <c r="G77">
        <v>4</v>
      </c>
      <c r="H77">
        <v>2.1</v>
      </c>
      <c r="I77" t="s">
        <v>20</v>
      </c>
      <c r="J77">
        <f t="shared" si="3"/>
        <v>39</v>
      </c>
      <c r="K77" t="str">
        <f t="shared" si="4"/>
        <v>September</v>
      </c>
      <c r="L77" t="str">
        <f t="shared" si="5"/>
        <v>Negative</v>
      </c>
    </row>
    <row r="78" spans="1:12" x14ac:dyDescent="0.3">
      <c r="A78" s="1">
        <v>45903</v>
      </c>
      <c r="B78" t="s">
        <v>103</v>
      </c>
      <c r="C78" t="s">
        <v>15</v>
      </c>
      <c r="D78">
        <v>1</v>
      </c>
      <c r="E78">
        <v>2</v>
      </c>
      <c r="F78">
        <v>2</v>
      </c>
      <c r="G78">
        <v>2</v>
      </c>
      <c r="H78">
        <v>2</v>
      </c>
      <c r="I78" t="s">
        <v>22</v>
      </c>
      <c r="J78">
        <f t="shared" si="3"/>
        <v>36</v>
      </c>
      <c r="K78" t="str">
        <f t="shared" si="4"/>
        <v>September</v>
      </c>
      <c r="L78" t="str">
        <f t="shared" si="5"/>
        <v>Negative</v>
      </c>
    </row>
    <row r="79" spans="1:12" x14ac:dyDescent="0.3">
      <c r="A79" s="1">
        <v>45914</v>
      </c>
      <c r="B79" t="s">
        <v>104</v>
      </c>
      <c r="C79" t="s">
        <v>17</v>
      </c>
      <c r="D79">
        <v>2</v>
      </c>
      <c r="E79">
        <v>3</v>
      </c>
      <c r="F79">
        <v>4</v>
      </c>
      <c r="G79">
        <v>1</v>
      </c>
      <c r="H79">
        <v>2.6</v>
      </c>
      <c r="I79" t="s">
        <v>36</v>
      </c>
      <c r="J79">
        <f t="shared" si="3"/>
        <v>38</v>
      </c>
      <c r="K79" t="str">
        <f t="shared" si="4"/>
        <v>September</v>
      </c>
      <c r="L79" t="str">
        <f t="shared" si="5"/>
        <v>Negative</v>
      </c>
    </row>
    <row r="80" spans="1:12" x14ac:dyDescent="0.3">
      <c r="A80" s="1">
        <v>45915</v>
      </c>
      <c r="B80" t="s">
        <v>105</v>
      </c>
      <c r="C80" t="s">
        <v>15</v>
      </c>
      <c r="D80">
        <v>3</v>
      </c>
      <c r="E80">
        <v>2</v>
      </c>
      <c r="F80">
        <v>2</v>
      </c>
      <c r="G80">
        <v>1</v>
      </c>
      <c r="H80">
        <v>1.9</v>
      </c>
      <c r="I80" t="s">
        <v>25</v>
      </c>
      <c r="J80">
        <f t="shared" si="3"/>
        <v>38</v>
      </c>
      <c r="K80" t="str">
        <f t="shared" si="4"/>
        <v>September</v>
      </c>
      <c r="L80" t="str">
        <f t="shared" si="5"/>
        <v>Negative</v>
      </c>
    </row>
    <row r="81" spans="1:12" x14ac:dyDescent="0.3">
      <c r="A81" s="1">
        <v>45924</v>
      </c>
      <c r="B81" t="s">
        <v>106</v>
      </c>
      <c r="C81" t="s">
        <v>10</v>
      </c>
      <c r="D81">
        <v>2</v>
      </c>
      <c r="E81">
        <v>1</v>
      </c>
      <c r="F81">
        <v>4</v>
      </c>
      <c r="G81">
        <v>3</v>
      </c>
      <c r="H81">
        <v>2.8</v>
      </c>
      <c r="I81" t="s">
        <v>25</v>
      </c>
      <c r="J81">
        <f t="shared" si="3"/>
        <v>39</v>
      </c>
      <c r="K81" t="str">
        <f t="shared" si="4"/>
        <v>September</v>
      </c>
      <c r="L81" t="str">
        <f t="shared" si="5"/>
        <v>Negative</v>
      </c>
    </row>
    <row r="82" spans="1:12" x14ac:dyDescent="0.3">
      <c r="A82" s="1">
        <v>45930</v>
      </c>
      <c r="B82" t="s">
        <v>107</v>
      </c>
      <c r="C82" t="s">
        <v>17</v>
      </c>
      <c r="D82">
        <v>2</v>
      </c>
      <c r="E82">
        <v>3</v>
      </c>
      <c r="F82">
        <v>5</v>
      </c>
      <c r="G82">
        <v>4</v>
      </c>
      <c r="H82">
        <v>3.4</v>
      </c>
      <c r="I82" t="s">
        <v>13</v>
      </c>
      <c r="J82">
        <f t="shared" si="3"/>
        <v>40</v>
      </c>
      <c r="K82" t="str">
        <f t="shared" si="4"/>
        <v>September</v>
      </c>
      <c r="L82" t="str">
        <f t="shared" si="5"/>
        <v>Negative</v>
      </c>
    </row>
    <row r="83" spans="1:12" x14ac:dyDescent="0.3">
      <c r="A83" s="1">
        <v>45926</v>
      </c>
      <c r="B83" t="s">
        <v>108</v>
      </c>
      <c r="C83" t="s">
        <v>15</v>
      </c>
      <c r="D83">
        <v>2</v>
      </c>
      <c r="E83">
        <v>2</v>
      </c>
      <c r="F83">
        <v>5</v>
      </c>
      <c r="G83">
        <v>5</v>
      </c>
      <c r="H83">
        <v>3.4</v>
      </c>
      <c r="I83" t="s">
        <v>48</v>
      </c>
      <c r="J83">
        <f t="shared" si="3"/>
        <v>39</v>
      </c>
      <c r="K83" t="str">
        <f t="shared" si="4"/>
        <v>September</v>
      </c>
      <c r="L83" t="str">
        <f t="shared" si="5"/>
        <v>Negative</v>
      </c>
    </row>
    <row r="84" spans="1:12" x14ac:dyDescent="0.3">
      <c r="A84" s="1">
        <v>45902</v>
      </c>
      <c r="B84" t="s">
        <v>109</v>
      </c>
      <c r="C84" t="s">
        <v>17</v>
      </c>
      <c r="D84">
        <v>2</v>
      </c>
      <c r="E84">
        <v>1</v>
      </c>
      <c r="F84">
        <v>2</v>
      </c>
      <c r="G84">
        <v>4</v>
      </c>
      <c r="H84">
        <v>2.2000000000000002</v>
      </c>
      <c r="I84" t="s">
        <v>36</v>
      </c>
      <c r="J84">
        <f t="shared" si="3"/>
        <v>36</v>
      </c>
      <c r="K84" t="str">
        <f t="shared" si="4"/>
        <v>September</v>
      </c>
      <c r="L84" t="str">
        <f t="shared" si="5"/>
        <v>Negative</v>
      </c>
    </row>
    <row r="85" spans="1:12" x14ac:dyDescent="0.3">
      <c r="A85" s="1">
        <v>45918</v>
      </c>
      <c r="B85" t="s">
        <v>110</v>
      </c>
      <c r="C85" t="s">
        <v>17</v>
      </c>
      <c r="D85">
        <v>5</v>
      </c>
      <c r="E85">
        <v>3</v>
      </c>
      <c r="F85">
        <v>4</v>
      </c>
      <c r="G85">
        <v>4</v>
      </c>
      <c r="H85">
        <v>3.7</v>
      </c>
      <c r="I85" t="s">
        <v>46</v>
      </c>
      <c r="J85">
        <f t="shared" si="3"/>
        <v>38</v>
      </c>
      <c r="K85" t="str">
        <f t="shared" si="4"/>
        <v>September</v>
      </c>
      <c r="L85" t="str">
        <f t="shared" si="5"/>
        <v>Negative</v>
      </c>
    </row>
    <row r="86" spans="1:12" x14ac:dyDescent="0.3">
      <c r="A86" s="1">
        <v>45908</v>
      </c>
      <c r="B86" t="s">
        <v>111</v>
      </c>
      <c r="C86" t="s">
        <v>15</v>
      </c>
      <c r="D86">
        <v>5</v>
      </c>
      <c r="E86">
        <v>3</v>
      </c>
      <c r="F86">
        <v>3</v>
      </c>
      <c r="G86">
        <v>3</v>
      </c>
      <c r="H86">
        <v>4</v>
      </c>
      <c r="I86" t="s">
        <v>33</v>
      </c>
      <c r="J86">
        <f t="shared" si="3"/>
        <v>37</v>
      </c>
      <c r="K86" t="str">
        <f t="shared" si="4"/>
        <v>September</v>
      </c>
      <c r="L86" t="str">
        <f t="shared" si="5"/>
        <v>Positive</v>
      </c>
    </row>
    <row r="87" spans="1:12" x14ac:dyDescent="0.3">
      <c r="A87" s="1">
        <v>45928</v>
      </c>
      <c r="B87" t="s">
        <v>112</v>
      </c>
      <c r="C87" t="s">
        <v>10</v>
      </c>
      <c r="D87">
        <v>4</v>
      </c>
      <c r="E87">
        <v>3</v>
      </c>
      <c r="F87">
        <v>3</v>
      </c>
      <c r="G87">
        <v>4</v>
      </c>
      <c r="H87">
        <v>3.6</v>
      </c>
      <c r="I87" t="s">
        <v>53</v>
      </c>
      <c r="J87">
        <f t="shared" si="3"/>
        <v>40</v>
      </c>
      <c r="K87" t="str">
        <f t="shared" si="4"/>
        <v>September</v>
      </c>
      <c r="L87" t="str">
        <f t="shared" si="5"/>
        <v>Negative</v>
      </c>
    </row>
    <row r="88" spans="1:12" x14ac:dyDescent="0.3">
      <c r="A88" s="1">
        <v>45918</v>
      </c>
      <c r="B88" t="s">
        <v>113</v>
      </c>
      <c r="C88" t="s">
        <v>10</v>
      </c>
      <c r="D88">
        <v>3</v>
      </c>
      <c r="E88">
        <v>1</v>
      </c>
      <c r="F88">
        <v>4</v>
      </c>
      <c r="G88">
        <v>5</v>
      </c>
      <c r="H88">
        <v>3</v>
      </c>
      <c r="I88" t="s">
        <v>20</v>
      </c>
      <c r="J88">
        <f t="shared" si="3"/>
        <v>38</v>
      </c>
      <c r="K88" t="str">
        <f t="shared" si="4"/>
        <v>September</v>
      </c>
      <c r="L88" t="str">
        <f t="shared" si="5"/>
        <v>Neutral</v>
      </c>
    </row>
    <row r="89" spans="1:12" x14ac:dyDescent="0.3">
      <c r="A89" s="1">
        <v>45912</v>
      </c>
      <c r="B89" t="s">
        <v>114</v>
      </c>
      <c r="C89" t="s">
        <v>10</v>
      </c>
      <c r="D89">
        <v>1</v>
      </c>
      <c r="E89">
        <v>2</v>
      </c>
      <c r="F89">
        <v>2</v>
      </c>
      <c r="G89">
        <v>3</v>
      </c>
      <c r="H89">
        <v>1.9</v>
      </c>
      <c r="I89" t="s">
        <v>30</v>
      </c>
      <c r="J89">
        <f t="shared" si="3"/>
        <v>37</v>
      </c>
      <c r="K89" t="str">
        <f t="shared" si="4"/>
        <v>September</v>
      </c>
      <c r="L89" t="str">
        <f t="shared" si="5"/>
        <v>Negative</v>
      </c>
    </row>
    <row r="90" spans="1:12" x14ac:dyDescent="0.3">
      <c r="A90" s="1">
        <v>45921</v>
      </c>
      <c r="B90" t="s">
        <v>115</v>
      </c>
      <c r="C90" t="s">
        <v>15</v>
      </c>
      <c r="D90">
        <v>2</v>
      </c>
      <c r="E90">
        <v>1</v>
      </c>
      <c r="F90">
        <v>3</v>
      </c>
      <c r="G90">
        <v>4</v>
      </c>
      <c r="H90">
        <v>2.8</v>
      </c>
      <c r="I90" t="s">
        <v>22</v>
      </c>
      <c r="J90">
        <f t="shared" si="3"/>
        <v>39</v>
      </c>
      <c r="K90" t="str">
        <f t="shared" si="4"/>
        <v>September</v>
      </c>
      <c r="L90" t="str">
        <f t="shared" si="5"/>
        <v>Negative</v>
      </c>
    </row>
    <row r="91" spans="1:12" x14ac:dyDescent="0.3">
      <c r="A91" s="1">
        <v>45915</v>
      </c>
      <c r="B91" t="s">
        <v>116</v>
      </c>
      <c r="C91" t="s">
        <v>15</v>
      </c>
      <c r="D91">
        <v>5</v>
      </c>
      <c r="E91">
        <v>2</v>
      </c>
      <c r="F91">
        <v>2</v>
      </c>
      <c r="G91">
        <v>4</v>
      </c>
      <c r="H91">
        <v>2.8</v>
      </c>
      <c r="I91" t="s">
        <v>30</v>
      </c>
      <c r="J91">
        <f t="shared" si="3"/>
        <v>38</v>
      </c>
      <c r="K91" t="str">
        <f t="shared" si="4"/>
        <v>September</v>
      </c>
      <c r="L91" t="str">
        <f t="shared" si="5"/>
        <v>Negative</v>
      </c>
    </row>
    <row r="92" spans="1:12" x14ac:dyDescent="0.3">
      <c r="A92" s="1">
        <v>45914</v>
      </c>
      <c r="B92" t="s">
        <v>117</v>
      </c>
      <c r="C92" t="s">
        <v>17</v>
      </c>
      <c r="D92">
        <v>4</v>
      </c>
      <c r="E92">
        <v>4</v>
      </c>
      <c r="F92">
        <v>5</v>
      </c>
      <c r="G92">
        <v>1</v>
      </c>
      <c r="H92">
        <v>3</v>
      </c>
      <c r="I92" t="s">
        <v>13</v>
      </c>
      <c r="J92">
        <f t="shared" si="3"/>
        <v>38</v>
      </c>
      <c r="K92" t="str">
        <f t="shared" si="4"/>
        <v>September</v>
      </c>
      <c r="L92" t="str">
        <f t="shared" si="5"/>
        <v>Neutral</v>
      </c>
    </row>
    <row r="93" spans="1:12" x14ac:dyDescent="0.3">
      <c r="A93" s="1">
        <v>45907</v>
      </c>
      <c r="B93" t="s">
        <v>118</v>
      </c>
      <c r="C93" t="s">
        <v>17</v>
      </c>
      <c r="D93">
        <v>1</v>
      </c>
      <c r="E93">
        <v>3</v>
      </c>
      <c r="F93">
        <v>3</v>
      </c>
      <c r="G93">
        <v>5</v>
      </c>
      <c r="H93">
        <v>3.3</v>
      </c>
      <c r="I93" t="s">
        <v>25</v>
      </c>
      <c r="J93">
        <f t="shared" si="3"/>
        <v>37</v>
      </c>
      <c r="K93" t="str">
        <f t="shared" si="4"/>
        <v>September</v>
      </c>
      <c r="L93" t="str">
        <f t="shared" si="5"/>
        <v>Negative</v>
      </c>
    </row>
    <row r="94" spans="1:12" x14ac:dyDescent="0.3">
      <c r="A94" s="1">
        <v>45911</v>
      </c>
      <c r="B94" t="s">
        <v>119</v>
      </c>
      <c r="C94" t="s">
        <v>17</v>
      </c>
      <c r="D94">
        <v>1</v>
      </c>
      <c r="E94">
        <v>3</v>
      </c>
      <c r="F94">
        <v>3</v>
      </c>
      <c r="G94">
        <v>2</v>
      </c>
      <c r="H94">
        <v>2.6</v>
      </c>
      <c r="I94" t="s">
        <v>77</v>
      </c>
      <c r="J94">
        <f t="shared" si="3"/>
        <v>37</v>
      </c>
      <c r="K94" t="str">
        <f t="shared" si="4"/>
        <v>September</v>
      </c>
      <c r="L94" t="str">
        <f t="shared" si="5"/>
        <v>Negative</v>
      </c>
    </row>
    <row r="95" spans="1:12" x14ac:dyDescent="0.3">
      <c r="A95" s="1">
        <v>45909</v>
      </c>
      <c r="B95" t="s">
        <v>120</v>
      </c>
      <c r="C95" t="s">
        <v>15</v>
      </c>
      <c r="D95">
        <v>2</v>
      </c>
      <c r="E95">
        <v>2</v>
      </c>
      <c r="F95">
        <v>2</v>
      </c>
      <c r="G95">
        <v>1</v>
      </c>
      <c r="H95">
        <v>1.9</v>
      </c>
      <c r="I95" t="s">
        <v>20</v>
      </c>
      <c r="J95">
        <f t="shared" si="3"/>
        <v>37</v>
      </c>
      <c r="K95" t="str">
        <f t="shared" si="4"/>
        <v>September</v>
      </c>
      <c r="L95" t="str">
        <f t="shared" si="5"/>
        <v>Negative</v>
      </c>
    </row>
    <row r="96" spans="1:12" x14ac:dyDescent="0.3">
      <c r="A96" s="1">
        <v>45928</v>
      </c>
      <c r="B96" t="s">
        <v>121</v>
      </c>
      <c r="C96" t="s">
        <v>17</v>
      </c>
      <c r="D96">
        <v>3</v>
      </c>
      <c r="E96">
        <v>1</v>
      </c>
      <c r="F96">
        <v>4</v>
      </c>
      <c r="G96">
        <v>5</v>
      </c>
      <c r="H96">
        <v>3</v>
      </c>
      <c r="I96" t="s">
        <v>18</v>
      </c>
      <c r="J96">
        <f t="shared" si="3"/>
        <v>40</v>
      </c>
      <c r="K96" t="str">
        <f t="shared" si="4"/>
        <v>September</v>
      </c>
      <c r="L96" t="str">
        <f t="shared" si="5"/>
        <v>Neutral</v>
      </c>
    </row>
    <row r="97" spans="1:12" x14ac:dyDescent="0.3">
      <c r="A97" s="1">
        <v>45929</v>
      </c>
      <c r="B97" t="s">
        <v>122</v>
      </c>
      <c r="C97" t="s">
        <v>15</v>
      </c>
      <c r="D97">
        <v>2</v>
      </c>
      <c r="E97">
        <v>3</v>
      </c>
      <c r="F97">
        <v>1</v>
      </c>
      <c r="G97">
        <v>4</v>
      </c>
      <c r="H97">
        <v>2.7</v>
      </c>
      <c r="I97" t="s">
        <v>33</v>
      </c>
      <c r="J97">
        <f t="shared" si="3"/>
        <v>40</v>
      </c>
      <c r="K97" t="str">
        <f t="shared" si="4"/>
        <v>September</v>
      </c>
      <c r="L97" t="str">
        <f t="shared" si="5"/>
        <v>Negative</v>
      </c>
    </row>
    <row r="98" spans="1:12" x14ac:dyDescent="0.3">
      <c r="A98" s="1">
        <v>45915</v>
      </c>
      <c r="B98" t="s">
        <v>123</v>
      </c>
      <c r="C98" t="s">
        <v>17</v>
      </c>
      <c r="D98">
        <v>4</v>
      </c>
      <c r="E98">
        <v>1</v>
      </c>
      <c r="F98">
        <v>4</v>
      </c>
      <c r="G98">
        <v>5</v>
      </c>
      <c r="H98">
        <v>3.4</v>
      </c>
      <c r="I98" t="s">
        <v>53</v>
      </c>
      <c r="J98">
        <f t="shared" si="3"/>
        <v>38</v>
      </c>
      <c r="K98" t="str">
        <f t="shared" si="4"/>
        <v>September</v>
      </c>
      <c r="L98" t="str">
        <f t="shared" si="5"/>
        <v>Negative</v>
      </c>
    </row>
    <row r="99" spans="1:12" x14ac:dyDescent="0.3">
      <c r="A99" s="1">
        <v>45905</v>
      </c>
      <c r="B99" t="s">
        <v>124</v>
      </c>
      <c r="C99" t="s">
        <v>10</v>
      </c>
      <c r="D99">
        <v>2</v>
      </c>
      <c r="E99">
        <v>2</v>
      </c>
      <c r="F99">
        <v>2</v>
      </c>
      <c r="G99">
        <v>1</v>
      </c>
      <c r="H99">
        <v>2.2000000000000002</v>
      </c>
      <c r="I99" t="s">
        <v>30</v>
      </c>
      <c r="J99">
        <f t="shared" si="3"/>
        <v>36</v>
      </c>
      <c r="K99" t="str">
        <f t="shared" si="4"/>
        <v>September</v>
      </c>
      <c r="L99" t="str">
        <f t="shared" si="5"/>
        <v>Negative</v>
      </c>
    </row>
    <row r="100" spans="1:12" x14ac:dyDescent="0.3">
      <c r="A100" s="1">
        <v>45911</v>
      </c>
      <c r="B100" t="s">
        <v>125</v>
      </c>
      <c r="C100" t="s">
        <v>17</v>
      </c>
      <c r="D100">
        <v>4</v>
      </c>
      <c r="E100">
        <v>3</v>
      </c>
      <c r="F100">
        <v>3</v>
      </c>
      <c r="G100">
        <v>4</v>
      </c>
      <c r="H100">
        <v>3.8</v>
      </c>
      <c r="I100" t="s">
        <v>53</v>
      </c>
      <c r="J100">
        <f t="shared" si="3"/>
        <v>37</v>
      </c>
      <c r="K100" t="str">
        <f t="shared" si="4"/>
        <v>September</v>
      </c>
      <c r="L100" t="str">
        <f t="shared" si="5"/>
        <v>Negative</v>
      </c>
    </row>
    <row r="101" spans="1:12" x14ac:dyDescent="0.3">
      <c r="A101" s="1">
        <v>45912</v>
      </c>
      <c r="B101" t="s">
        <v>126</v>
      </c>
      <c r="C101" t="s">
        <v>17</v>
      </c>
      <c r="D101">
        <v>2</v>
      </c>
      <c r="E101">
        <v>1</v>
      </c>
      <c r="F101">
        <v>5</v>
      </c>
      <c r="G101">
        <v>2</v>
      </c>
      <c r="H101">
        <v>2.2000000000000002</v>
      </c>
      <c r="I101" t="s">
        <v>22</v>
      </c>
      <c r="J101">
        <f t="shared" si="3"/>
        <v>37</v>
      </c>
      <c r="K101" t="str">
        <f t="shared" si="4"/>
        <v>September</v>
      </c>
      <c r="L101" t="str">
        <f t="shared" si="5"/>
        <v>Negative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B40AA-7855-4604-83DE-B33565E27C63}">
  <sheetPr>
    <tabColor theme="4" tint="0.39997558519241921"/>
  </sheetPr>
  <dimension ref="A3:Z34"/>
  <sheetViews>
    <sheetView workbookViewId="0">
      <selection activeCell="R8" sqref="R8"/>
    </sheetView>
  </sheetViews>
  <sheetFormatPr defaultRowHeight="14.4" x14ac:dyDescent="0.3"/>
  <cols>
    <col min="1" max="1" width="14.33203125" bestFit="1" customWidth="1"/>
    <col min="2" max="2" width="18.44140625" bestFit="1" customWidth="1"/>
    <col min="3" max="3" width="13.77734375" bestFit="1" customWidth="1"/>
    <col min="4" max="4" width="19.88671875" bestFit="1" customWidth="1"/>
    <col min="5" max="5" width="23.109375" bestFit="1" customWidth="1"/>
    <col min="6" max="6" width="15.5546875" bestFit="1" customWidth="1"/>
    <col min="7" max="7" width="7.21875" bestFit="1" customWidth="1"/>
    <col min="8" max="8" width="7.5546875" bestFit="1" customWidth="1"/>
    <col min="9" max="9" width="7.6640625" bestFit="1" customWidth="1"/>
    <col min="10" max="10" width="23.109375" bestFit="1" customWidth="1"/>
    <col min="11" max="11" width="15.5546875" bestFit="1" customWidth="1"/>
    <col min="12" max="12" width="7.21875" bestFit="1" customWidth="1"/>
    <col min="13" max="13" width="12" bestFit="1" customWidth="1"/>
    <col min="14" max="14" width="10.21875" bestFit="1" customWidth="1"/>
    <col min="15" max="15" width="12.5546875" bestFit="1" customWidth="1"/>
    <col min="16" max="16" width="23.109375" bestFit="1" customWidth="1"/>
    <col min="17" max="17" width="7.21875" bestFit="1" customWidth="1"/>
    <col min="18" max="18" width="12.5546875" bestFit="1" customWidth="1"/>
    <col min="19" max="19" width="18.44140625" bestFit="1" customWidth="1"/>
    <col min="20" max="20" width="7.21875" bestFit="1" customWidth="1"/>
    <col min="21" max="21" width="7.5546875" bestFit="1" customWidth="1"/>
    <col min="22" max="24" width="6.77734375" bestFit="1" customWidth="1"/>
    <col min="25" max="25" width="12.5546875" bestFit="1" customWidth="1"/>
    <col min="26" max="26" width="21.33203125" bestFit="1" customWidth="1"/>
    <col min="27" max="27" width="15.44140625" bestFit="1" customWidth="1"/>
    <col min="28" max="30" width="6.77734375" bestFit="1" customWidth="1"/>
    <col min="31" max="31" width="12" bestFit="1" customWidth="1"/>
    <col min="32" max="37" width="6.77734375" bestFit="1" customWidth="1"/>
    <col min="38" max="38" width="12" bestFit="1" customWidth="1"/>
    <col min="39" max="43" width="6.77734375" bestFit="1" customWidth="1"/>
    <col min="44" max="45" width="12" bestFit="1" customWidth="1"/>
    <col min="46" max="46" width="6.77734375" bestFit="1" customWidth="1"/>
    <col min="47" max="47" width="6.5546875" bestFit="1" customWidth="1"/>
    <col min="48" max="48" width="13.21875" bestFit="1" customWidth="1"/>
    <col min="49" max="49" width="9.21875" bestFit="1" customWidth="1"/>
    <col min="50" max="54" width="6.77734375" bestFit="1" customWidth="1"/>
    <col min="55" max="55" width="11.88671875" bestFit="1" customWidth="1"/>
    <col min="56" max="56" width="9.5546875" bestFit="1" customWidth="1"/>
    <col min="57" max="64" width="6.77734375" bestFit="1" customWidth="1"/>
    <col min="65" max="65" width="6.5546875" bestFit="1" customWidth="1"/>
    <col min="66" max="66" width="12.21875" bestFit="1" customWidth="1"/>
  </cols>
  <sheetData>
    <row r="3" spans="1:26" x14ac:dyDescent="0.3">
      <c r="A3" t="s">
        <v>141</v>
      </c>
      <c r="C3" t="s">
        <v>140</v>
      </c>
      <c r="E3" s="3" t="s">
        <v>135</v>
      </c>
      <c r="F3" s="3" t="s">
        <v>142</v>
      </c>
      <c r="J3" s="3" t="s">
        <v>135</v>
      </c>
      <c r="K3" s="3" t="s">
        <v>142</v>
      </c>
      <c r="O3" s="3" t="s">
        <v>131</v>
      </c>
      <c r="P3" t="s">
        <v>135</v>
      </c>
      <c r="R3" s="3" t="s">
        <v>131</v>
      </c>
      <c r="S3" t="s">
        <v>130</v>
      </c>
    </row>
    <row r="4" spans="1:26" x14ac:dyDescent="0.3">
      <c r="A4" s="2">
        <v>100</v>
      </c>
      <c r="C4" s="2">
        <v>3.0529999999999999</v>
      </c>
      <c r="E4" s="3" t="s">
        <v>131</v>
      </c>
      <c r="F4" t="s">
        <v>136</v>
      </c>
      <c r="G4" t="s">
        <v>137</v>
      </c>
      <c r="H4" t="s">
        <v>138</v>
      </c>
      <c r="J4" s="3" t="s">
        <v>131</v>
      </c>
      <c r="K4" t="s">
        <v>136</v>
      </c>
      <c r="L4" t="s">
        <v>137</v>
      </c>
      <c r="M4" t="s">
        <v>138</v>
      </c>
      <c r="O4" s="4" t="s">
        <v>136</v>
      </c>
      <c r="P4" s="2">
        <v>2.8783132530120481</v>
      </c>
      <c r="R4" s="4" t="s">
        <v>136</v>
      </c>
      <c r="S4" s="2">
        <v>83</v>
      </c>
      <c r="Y4" s="3" t="s">
        <v>131</v>
      </c>
      <c r="Z4" t="s">
        <v>173</v>
      </c>
    </row>
    <row r="5" spans="1:26" x14ac:dyDescent="0.3">
      <c r="A5">
        <f>GETPIVOTDATA("Student_ID",$A$3)</f>
        <v>100</v>
      </c>
      <c r="E5" s="4" t="s">
        <v>132</v>
      </c>
      <c r="F5" s="2">
        <v>2.8696202531645572</v>
      </c>
      <c r="G5" s="2">
        <v>3</v>
      </c>
      <c r="H5" s="2">
        <v>4.3800000000000008</v>
      </c>
      <c r="J5" s="4">
        <v>36</v>
      </c>
      <c r="K5" s="2">
        <v>2.6571428571428575</v>
      </c>
      <c r="L5" s="2">
        <v>3</v>
      </c>
      <c r="M5" s="2">
        <v>4.5</v>
      </c>
      <c r="O5" s="4" t="s">
        <v>137</v>
      </c>
      <c r="P5" s="2">
        <v>3</v>
      </c>
      <c r="R5" s="4" t="s">
        <v>137</v>
      </c>
      <c r="S5" s="2">
        <v>6</v>
      </c>
      <c r="Y5" s="7" t="s">
        <v>172</v>
      </c>
      <c r="Z5" s="2">
        <v>2</v>
      </c>
    </row>
    <row r="6" spans="1:26" x14ac:dyDescent="0.3">
      <c r="C6">
        <f>GETPIVOTDATA("Overall_Rating",$C$3)</f>
        <v>3.0529999999999999</v>
      </c>
      <c r="E6" s="4" t="s">
        <v>133</v>
      </c>
      <c r="F6" s="2">
        <v>3.05</v>
      </c>
      <c r="G6" s="2"/>
      <c r="H6" s="2">
        <v>4.5999999999999996</v>
      </c>
      <c r="J6" s="4">
        <v>37</v>
      </c>
      <c r="K6" s="2">
        <v>2.8874999999999997</v>
      </c>
      <c r="L6" s="2">
        <v>3</v>
      </c>
      <c r="M6" s="2">
        <v>4.3</v>
      </c>
      <c r="O6" s="4" t="s">
        <v>138</v>
      </c>
      <c r="P6" s="2">
        <v>4.4000000000000004</v>
      </c>
      <c r="R6" s="4" t="s">
        <v>138</v>
      </c>
      <c r="S6" s="2">
        <v>11</v>
      </c>
      <c r="Y6" s="7" t="s">
        <v>143</v>
      </c>
      <c r="Z6" s="2">
        <v>2</v>
      </c>
    </row>
    <row r="7" spans="1:26" x14ac:dyDescent="0.3">
      <c r="J7" s="4">
        <v>38</v>
      </c>
      <c r="K7" s="2">
        <v>2.8312499999999994</v>
      </c>
      <c r="L7" s="2">
        <v>3</v>
      </c>
      <c r="M7" s="2">
        <v>4.333333333333333</v>
      </c>
      <c r="Y7" s="7" t="s">
        <v>144</v>
      </c>
      <c r="Z7" s="2">
        <v>6</v>
      </c>
    </row>
    <row r="8" spans="1:26" x14ac:dyDescent="0.3">
      <c r="A8" s="3" t="s">
        <v>131</v>
      </c>
      <c r="B8" t="s">
        <v>130</v>
      </c>
      <c r="C8" t="s">
        <v>139</v>
      </c>
      <c r="J8" s="4">
        <v>39</v>
      </c>
      <c r="K8" s="2">
        <v>2.8176470588235292</v>
      </c>
      <c r="L8" s="2">
        <v>3</v>
      </c>
      <c r="M8" s="2"/>
      <c r="Y8" s="7" t="s">
        <v>145</v>
      </c>
      <c r="Z8" s="2">
        <v>2</v>
      </c>
    </row>
    <row r="9" spans="1:26" x14ac:dyDescent="0.3">
      <c r="A9" s="4" t="s">
        <v>136</v>
      </c>
      <c r="B9" s="2">
        <v>83</v>
      </c>
      <c r="C9" s="5">
        <v>0.83</v>
      </c>
      <c r="J9" s="4">
        <v>40</v>
      </c>
      <c r="K9" s="2">
        <v>3.2666666666666675</v>
      </c>
      <c r="L9" s="2">
        <v>3</v>
      </c>
      <c r="M9" s="2">
        <v>4.4000000000000004</v>
      </c>
      <c r="Y9" s="7" t="s">
        <v>146</v>
      </c>
      <c r="Z9" s="2">
        <v>5</v>
      </c>
    </row>
    <row r="10" spans="1:26" x14ac:dyDescent="0.3">
      <c r="A10" s="4" t="s">
        <v>137</v>
      </c>
      <c r="B10" s="2">
        <v>6</v>
      </c>
      <c r="C10" s="5">
        <v>0.06</v>
      </c>
      <c r="Y10" s="7" t="s">
        <v>147</v>
      </c>
      <c r="Z10" s="2">
        <v>2</v>
      </c>
    </row>
    <row r="11" spans="1:26" x14ac:dyDescent="0.3">
      <c r="A11" s="4" t="s">
        <v>138</v>
      </c>
      <c r="B11" s="2">
        <v>11</v>
      </c>
      <c r="C11" s="5">
        <v>0.11</v>
      </c>
      <c r="Y11" s="7" t="s">
        <v>148</v>
      </c>
      <c r="Z11" s="2">
        <v>2</v>
      </c>
    </row>
    <row r="12" spans="1:26" x14ac:dyDescent="0.3">
      <c r="A12" s="4" t="s">
        <v>134</v>
      </c>
      <c r="B12" s="2">
        <v>100</v>
      </c>
      <c r="C12" s="5">
        <v>1</v>
      </c>
      <c r="Y12" s="7" t="s">
        <v>149</v>
      </c>
      <c r="Z12" s="2">
        <v>5</v>
      </c>
    </row>
    <row r="13" spans="1:26" x14ac:dyDescent="0.3">
      <c r="Y13" s="7" t="s">
        <v>150</v>
      </c>
      <c r="Z13" s="2">
        <v>2</v>
      </c>
    </row>
    <row r="14" spans="1:26" x14ac:dyDescent="0.3">
      <c r="Y14" s="7" t="s">
        <v>151</v>
      </c>
      <c r="Z14" s="2">
        <v>3</v>
      </c>
    </row>
    <row r="15" spans="1:26" x14ac:dyDescent="0.3">
      <c r="Y15" s="7" t="s">
        <v>152</v>
      </c>
      <c r="Z15" s="2">
        <v>6</v>
      </c>
    </row>
    <row r="16" spans="1:26" x14ac:dyDescent="0.3">
      <c r="C16" s="6">
        <f>GETPIVOTDATA("percentage of feedbacks",$A$8,"Sentiment","Negative")</f>
        <v>0.83</v>
      </c>
      <c r="D16" s="6">
        <f>GETPIVOTDATA("percentage of feedbacks",$A$8,"Sentiment","Positive")</f>
        <v>0.11</v>
      </c>
      <c r="E16" s="6">
        <f>GETPIVOTDATA("percentage of feedbacks",$A$8,"Sentiment","Neutral")</f>
        <v>0.06</v>
      </c>
      <c r="Y16" s="7" t="s">
        <v>153</v>
      </c>
      <c r="Z16" s="2">
        <v>5</v>
      </c>
    </row>
    <row r="17" spans="25:26" x14ac:dyDescent="0.3">
      <c r="Y17" s="7" t="s">
        <v>154</v>
      </c>
      <c r="Z17" s="2">
        <v>4</v>
      </c>
    </row>
    <row r="18" spans="25:26" x14ac:dyDescent="0.3">
      <c r="Y18" s="7" t="s">
        <v>155</v>
      </c>
      <c r="Z18" s="2">
        <v>4</v>
      </c>
    </row>
    <row r="19" spans="25:26" x14ac:dyDescent="0.3">
      <c r="Y19" s="7" t="s">
        <v>156</v>
      </c>
      <c r="Z19" s="2">
        <v>5</v>
      </c>
    </row>
    <row r="20" spans="25:26" x14ac:dyDescent="0.3">
      <c r="Y20" s="7" t="s">
        <v>157</v>
      </c>
      <c r="Z20" s="2">
        <v>1</v>
      </c>
    </row>
    <row r="21" spans="25:26" x14ac:dyDescent="0.3">
      <c r="Y21" s="7" t="s">
        <v>158</v>
      </c>
      <c r="Z21" s="2">
        <v>3</v>
      </c>
    </row>
    <row r="22" spans="25:26" x14ac:dyDescent="0.3">
      <c r="Y22" s="7" t="s">
        <v>159</v>
      </c>
      <c r="Z22" s="2">
        <v>3</v>
      </c>
    </row>
    <row r="23" spans="25:26" x14ac:dyDescent="0.3">
      <c r="Y23" s="7" t="s">
        <v>160</v>
      </c>
      <c r="Z23" s="2">
        <v>2</v>
      </c>
    </row>
    <row r="24" spans="25:26" x14ac:dyDescent="0.3">
      <c r="Y24" s="7" t="s">
        <v>161</v>
      </c>
      <c r="Z24" s="2">
        <v>3</v>
      </c>
    </row>
    <row r="25" spans="25:26" x14ac:dyDescent="0.3">
      <c r="Y25" s="7" t="s">
        <v>162</v>
      </c>
      <c r="Z25" s="2">
        <v>4</v>
      </c>
    </row>
    <row r="26" spans="25:26" x14ac:dyDescent="0.3">
      <c r="Y26" s="7" t="s">
        <v>163</v>
      </c>
      <c r="Z26" s="2">
        <v>2</v>
      </c>
    </row>
    <row r="27" spans="25:26" x14ac:dyDescent="0.3">
      <c r="Y27" s="7" t="s">
        <v>164</v>
      </c>
      <c r="Z27" s="2">
        <v>4</v>
      </c>
    </row>
    <row r="28" spans="25:26" x14ac:dyDescent="0.3">
      <c r="Y28" s="7" t="s">
        <v>165</v>
      </c>
      <c r="Z28" s="2">
        <v>2</v>
      </c>
    </row>
    <row r="29" spans="25:26" x14ac:dyDescent="0.3">
      <c r="Y29" s="7" t="s">
        <v>166</v>
      </c>
      <c r="Z29" s="2">
        <v>2</v>
      </c>
    </row>
    <row r="30" spans="25:26" x14ac:dyDescent="0.3">
      <c r="Y30" s="7" t="s">
        <v>167</v>
      </c>
      <c r="Z30" s="2">
        <v>4</v>
      </c>
    </row>
    <row r="31" spans="25:26" x14ac:dyDescent="0.3">
      <c r="Y31" s="7" t="s">
        <v>168</v>
      </c>
      <c r="Z31" s="2">
        <v>5</v>
      </c>
    </row>
    <row r="32" spans="25:26" x14ac:dyDescent="0.3">
      <c r="Y32" s="7" t="s">
        <v>169</v>
      </c>
      <c r="Z32" s="2">
        <v>3</v>
      </c>
    </row>
    <row r="33" spans="25:26" x14ac:dyDescent="0.3">
      <c r="Y33" s="7" t="s">
        <v>170</v>
      </c>
      <c r="Z33" s="2">
        <v>2</v>
      </c>
    </row>
    <row r="34" spans="25:26" x14ac:dyDescent="0.3">
      <c r="Y34" s="7" t="s">
        <v>171</v>
      </c>
      <c r="Z34" s="2">
        <v>5</v>
      </c>
    </row>
  </sheetData>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D3220-73E9-4AA2-8982-E9E89278830A}">
  <sheetPr>
    <tabColor theme="4" tint="-0.249977111117893"/>
    <pageSetUpPr fitToPage="1"/>
  </sheetPr>
  <dimension ref="G8:S20"/>
  <sheetViews>
    <sheetView tabSelected="1" zoomScaleNormal="100" workbookViewId="0">
      <selection activeCell="S22" sqref="S22"/>
    </sheetView>
  </sheetViews>
  <sheetFormatPr defaultRowHeight="14.4" x14ac:dyDescent="0.3"/>
  <cols>
    <col min="1" max="16384" width="8.88671875" style="8"/>
  </cols>
  <sheetData>
    <row r="8" spans="7:7" x14ac:dyDescent="0.3">
      <c r="G8" s="9"/>
    </row>
    <row r="20" spans="19:19" x14ac:dyDescent="0.3">
      <c r="S20" s="8" t="s">
        <v>174</v>
      </c>
    </row>
  </sheetData>
  <pageMargins left="0.7" right="0.7" top="0.75" bottom="0.75" header="0.3" footer="0.3"/>
  <pageSetup scale="56" fitToHeight="0"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Rathod</dc:creator>
  <cp:lastModifiedBy>Akshay Rathod</cp:lastModifiedBy>
  <dcterms:created xsi:type="dcterms:W3CDTF">2025-10-11T09:05:17Z</dcterms:created>
  <dcterms:modified xsi:type="dcterms:W3CDTF">2025-12-02T16:57:33Z</dcterms:modified>
</cp:coreProperties>
</file>