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8C6C2F8-229B-4288-B582-E18BE07967C1}" xr6:coauthVersionLast="47" xr6:coauthVersionMax="47" xr10:uidLastSave="{00000000-0000-0000-0000-000000000000}"/>
  <bookViews>
    <workbookView xWindow="-108" yWindow="-108" windowWidth="23256" windowHeight="12456" xr2:uid="{8E914EDB-3427-4720-96DC-079FEC452955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1" i="1" l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sharedStrings.xml><?xml version="1.0" encoding="utf-8"?>
<sst xmlns="http://schemas.openxmlformats.org/spreadsheetml/2006/main" count="312" uniqueCount="130">
  <si>
    <t>Date</t>
  </si>
  <si>
    <t>Student_ID</t>
  </si>
  <si>
    <t>Meal_Type</t>
  </si>
  <si>
    <t>Food_Quality</t>
  </si>
  <si>
    <t>Quantity</t>
  </si>
  <si>
    <t>Cleanliness</t>
  </si>
  <si>
    <t>Staff_Behavior</t>
  </si>
  <si>
    <t>Overall_Rating</t>
  </si>
  <si>
    <t>Suggestion</t>
  </si>
  <si>
    <t>Week Number</t>
  </si>
  <si>
    <t>Month</t>
  </si>
  <si>
    <t>Sentiment</t>
  </si>
  <si>
    <t>S001</t>
  </si>
  <si>
    <t>Lunch</t>
  </si>
  <si>
    <t>Great service</t>
  </si>
  <si>
    <t>S002</t>
  </si>
  <si>
    <t>Too oily</t>
  </si>
  <si>
    <t>S003</t>
  </si>
  <si>
    <t>Dinner</t>
  </si>
  <si>
    <t>S004</t>
  </si>
  <si>
    <t>Breakfast</t>
  </si>
  <si>
    <t>Add more salad</t>
  </si>
  <si>
    <t>S005</t>
  </si>
  <si>
    <t>Increase quantity</t>
  </si>
  <si>
    <t>S006</t>
  </si>
  <si>
    <t>Need more variety</t>
  </si>
  <si>
    <t>S007</t>
  </si>
  <si>
    <t>S008</t>
  </si>
  <si>
    <t>Rice not cooked well</t>
  </si>
  <si>
    <t>S009</t>
  </si>
  <si>
    <t>Food temperature low</t>
  </si>
  <si>
    <t>S010</t>
  </si>
  <si>
    <t>S011</t>
  </si>
  <si>
    <t>Staff very polite</t>
  </si>
  <si>
    <t>S012</t>
  </si>
  <si>
    <t>S013</t>
  </si>
  <si>
    <t>Food served cold</t>
  </si>
  <si>
    <t>S014</t>
  </si>
  <si>
    <t>S015</t>
  </si>
  <si>
    <t>Reduce salt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</si>
  <si>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</si>
  <si>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</si>
  <si>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</si>
  <si>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</si>
  <si>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</si>
  <si>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</si>
  <si>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</si>
  <si>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</si>
  <si>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</si>
  <si>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Need more non-veg options</t>
  </si>
  <si>
    <t>S025</t>
  </si>
  <si>
    <t>Food too spicy</t>
  </si>
  <si>
    <t>S026</t>
  </si>
  <si>
    <t>S027</t>
  </si>
  <si>
    <t>S028</t>
  </si>
  <si>
    <t>S029</t>
  </si>
  <si>
    <t>Tasty food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</si>
  <si>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</si>
  <si>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</si>
  <si>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</si>
  <si>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</si>
  <si>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</si>
  <si>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</si>
  <si>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</si>
  <si>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</si>
  <si>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</si>
  <si>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</si>
  <si>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</si>
  <si>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</si>
  <si>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</si>
  <si>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</si>
  <si>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</si>
  <si>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</si>
  <si>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</si>
  <si>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</si>
  <si>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</si>
  <si>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</si>
  <si>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Improve cleanliness</t>
  </si>
  <si>
    <t>S050</t>
  </si>
  <si>
    <t>S051</t>
  </si>
  <si>
    <t>Add fruits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</si>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</sst>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6F47-0A2B-4781-A69D-2E6D7836913E}">
  <sheetPr>
    <tabColor theme="4" tint="0.39997558519241921"/>
  </sheetPr>
  <dimension ref="A1:L101"/>
  <sheetViews>
    <sheetView tabSelected="1" zoomScale="111" workbookViewId="0">
      <selection activeCell="O10" sqref="O10"/>
    </sheetView>
  </sheetViews>
  <sheetFormatPr defaultRowHeight="14.4" x14ac:dyDescent="0.3"/>
  <cols>
    <col min="1" max="1" width="10.33203125" bestFit="1" customWidth="1"/>
    <col min="2" max="3" width="10" bestFit="1" customWidth="1"/>
    <col min="4" max="4" width="11.88671875" bestFit="1" customWidth="1"/>
    <col min="5" max="5" width="8" bestFit="1" customWidth="1"/>
    <col min="6" max="6" width="10" bestFit="1" customWidth="1"/>
    <col min="7" max="7" width="13.21875" bestFit="1" customWidth="1"/>
    <col min="8" max="8" width="12.88671875" bestFit="1" customWidth="1"/>
    <col min="9" max="9" width="24" bestFit="1" customWidth="1"/>
    <col min="10" max="10" width="12.6640625" bestFit="1" customWidth="1"/>
    <col min="11" max="11" width="9.77734375" bestFit="1" customWidth="1"/>
    <col min="17" max="17" width="23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45915</v>
      </c>
      <c r="B2" t="s">
        <v>12</v>
      </c>
      <c r="C2" t="s">
        <v>13</v>
      </c>
      <c r="D2">
        <v>1</v>
      </c>
      <c r="E2">
        <v>3</v>
      </c>
      <c r="F2">
        <v>2</v>
      </c>
      <c r="G2">
        <v>3</v>
      </c>
      <c r="H2">
        <v>1.9</v>
      </c>
      <c r="I2" t="s">
        <v>14</v>
      </c>
      <c r="J2">
        <f>WEEKNUM(A2)</f>
        <v>38</v>
      </c>
      <c r="K2" t="str">
        <f>TEXT(A2,"MMMM")</f>
        <v>September</v>
      </c>
      <c r="L2" t="str">
        <f>IF(H2&gt;=4,"Positive",IF(H2=3,"Neutral","Negative"))</f>
        <v>Negative</v>
      </c>
    </row>
    <row r="3" spans="1:12" x14ac:dyDescent="0.3">
      <c r="A3" s="1">
        <v>45931</v>
      </c>
      <c r="B3" t="s">
        <v>15</v>
      </c>
      <c r="C3" t="s">
        <v>13</v>
      </c>
      <c r="D3">
        <v>2</v>
      </c>
      <c r="E3">
        <v>4</v>
      </c>
      <c r="F3">
        <v>5</v>
      </c>
      <c r="G3">
        <v>2</v>
      </c>
      <c r="H3">
        <v>2.8</v>
      </c>
      <c r="I3" t="s">
        <v>16</v>
      </c>
      <c r="J3">
        <f t="shared" ref="J3:J66" si="0">WEEKNUM(A3)</f>
        <v>40</v>
      </c>
      <c r="K3" t="str">
        <f t="shared" ref="K3:K66" si="1">TEXT(A3,"MMMM")</f>
        <v>October</v>
      </c>
      <c r="L3" t="str">
        <f t="shared" ref="L3:L66" si="2">IF(H3&gt;=4,"Positive",IF(H3=3,"Neutral","Negative"))</f>
        <v>Negative</v>
      </c>
    </row>
    <row r="4" spans="1:12" x14ac:dyDescent="0.3">
      <c r="A4" s="1">
        <v>45903</v>
      </c>
      <c r="B4" t="s">
        <v>17</v>
      </c>
      <c r="C4" t="s">
        <v>18</v>
      </c>
      <c r="D4">
        <v>4</v>
      </c>
      <c r="E4">
        <v>5</v>
      </c>
      <c r="F4">
        <v>4</v>
      </c>
      <c r="G4">
        <v>5</v>
      </c>
      <c r="H4">
        <v>4.7</v>
      </c>
      <c r="I4" t="s">
        <v>16</v>
      </c>
      <c r="J4">
        <f t="shared" si="0"/>
        <v>36</v>
      </c>
      <c r="K4" t="str">
        <f t="shared" si="1"/>
        <v>September</v>
      </c>
      <c r="L4" t="str">
        <f t="shared" si="2"/>
        <v>Positive</v>
      </c>
    </row>
    <row r="5" spans="1:12" x14ac:dyDescent="0.3">
      <c r="A5" s="1">
        <v>45910</v>
      </c>
      <c r="B5" t="s">
        <v>19</v>
      </c>
      <c r="C5" t="s">
        <v>20</v>
      </c>
      <c r="D5">
        <v>2</v>
      </c>
      <c r="E5">
        <v>4</v>
      </c>
      <c r="F5">
        <v>4</v>
      </c>
      <c r="G5">
        <v>5</v>
      </c>
      <c r="H5">
        <v>3.5</v>
      </c>
      <c r="I5" t="s">
        <v>21</v>
      </c>
      <c r="J5">
        <f t="shared" si="0"/>
        <v>37</v>
      </c>
      <c r="K5" t="str">
        <f t="shared" si="1"/>
        <v>September</v>
      </c>
      <c r="L5" t="str">
        <f t="shared" si="2"/>
        <v>Negative</v>
      </c>
    </row>
    <row r="6" spans="1:12" x14ac:dyDescent="0.3">
      <c r="A6" s="1">
        <v>45914</v>
      </c>
      <c r="B6" t="s">
        <v>22</v>
      </c>
      <c r="C6" t="s">
        <v>18</v>
      </c>
      <c r="D6">
        <v>5</v>
      </c>
      <c r="E6">
        <v>4</v>
      </c>
      <c r="F6">
        <v>1</v>
      </c>
      <c r="G6">
        <v>5</v>
      </c>
      <c r="H6">
        <v>3.8</v>
      </c>
      <c r="I6" t="s">
        <v>23</v>
      </c>
      <c r="J6">
        <f t="shared" si="0"/>
        <v>38</v>
      </c>
      <c r="K6" t="str">
        <f t="shared" si="1"/>
        <v>September</v>
      </c>
      <c r="L6" t="str">
        <f t="shared" si="2"/>
        <v>Negative</v>
      </c>
    </row>
    <row r="7" spans="1:12" x14ac:dyDescent="0.3">
      <c r="A7" s="1">
        <v>45929</v>
      </c>
      <c r="B7" t="s">
        <v>24</v>
      </c>
      <c r="C7" t="s">
        <v>20</v>
      </c>
      <c r="D7">
        <v>5</v>
      </c>
      <c r="E7">
        <v>5</v>
      </c>
      <c r="F7">
        <v>1</v>
      </c>
      <c r="G7">
        <v>2</v>
      </c>
      <c r="H7">
        <v>3.5</v>
      </c>
      <c r="I7" t="s">
        <v>25</v>
      </c>
      <c r="J7">
        <f t="shared" si="0"/>
        <v>40</v>
      </c>
      <c r="K7" t="str">
        <f t="shared" si="1"/>
        <v>September</v>
      </c>
      <c r="L7" t="str">
        <f t="shared" si="2"/>
        <v>Negative</v>
      </c>
    </row>
    <row r="8" spans="1:12" x14ac:dyDescent="0.3">
      <c r="A8" s="1">
        <v>45911</v>
      </c>
      <c r="B8" t="s">
        <v>26</v>
      </c>
      <c r="C8" t="s">
        <v>20</v>
      </c>
      <c r="D8">
        <v>2</v>
      </c>
      <c r="E8">
        <v>1</v>
      </c>
      <c r="F8">
        <v>1</v>
      </c>
      <c r="G8">
        <v>2</v>
      </c>
      <c r="H8">
        <v>1.9</v>
      </c>
      <c r="I8" t="s">
        <v>14</v>
      </c>
      <c r="J8">
        <f t="shared" si="0"/>
        <v>37</v>
      </c>
      <c r="K8" t="str">
        <f t="shared" si="1"/>
        <v>September</v>
      </c>
      <c r="L8" t="str">
        <f t="shared" si="2"/>
        <v>Negative</v>
      </c>
    </row>
    <row r="9" spans="1:12" x14ac:dyDescent="0.3">
      <c r="A9" s="1">
        <v>45917</v>
      </c>
      <c r="B9" t="s">
        <v>27</v>
      </c>
      <c r="C9" t="s">
        <v>20</v>
      </c>
      <c r="D9">
        <v>4</v>
      </c>
      <c r="E9">
        <v>4</v>
      </c>
      <c r="F9">
        <v>4</v>
      </c>
      <c r="G9">
        <v>2</v>
      </c>
      <c r="H9">
        <v>4</v>
      </c>
      <c r="I9" t="s">
        <v>28</v>
      </c>
      <c r="J9">
        <f t="shared" si="0"/>
        <v>38</v>
      </c>
      <c r="K9" t="str">
        <f t="shared" si="1"/>
        <v>September</v>
      </c>
      <c r="L9" t="str">
        <f t="shared" si="2"/>
        <v>Positive</v>
      </c>
    </row>
    <row r="10" spans="1:12" x14ac:dyDescent="0.3">
      <c r="A10" s="1">
        <v>45912</v>
      </c>
      <c r="B10" t="s">
        <v>29</v>
      </c>
      <c r="C10" t="s">
        <v>18</v>
      </c>
      <c r="D10">
        <v>5</v>
      </c>
      <c r="E10">
        <v>5</v>
      </c>
      <c r="F10">
        <v>3</v>
      </c>
      <c r="G10">
        <v>2</v>
      </c>
      <c r="H10">
        <v>3.7</v>
      </c>
      <c r="I10" t="s">
        <v>30</v>
      </c>
      <c r="J10">
        <f t="shared" si="0"/>
        <v>37</v>
      </c>
      <c r="K10" t="str">
        <f t="shared" si="1"/>
        <v>September</v>
      </c>
      <c r="L10" t="str">
        <f t="shared" si="2"/>
        <v>Negative</v>
      </c>
    </row>
    <row r="11" spans="1:12" x14ac:dyDescent="0.3">
      <c r="A11" s="1">
        <v>45917</v>
      </c>
      <c r="B11" t="s">
        <v>31</v>
      </c>
      <c r="C11" t="s">
        <v>18</v>
      </c>
      <c r="D11">
        <v>2</v>
      </c>
      <c r="E11">
        <v>4</v>
      </c>
      <c r="F11">
        <v>3</v>
      </c>
      <c r="G11">
        <v>4</v>
      </c>
      <c r="H11">
        <v>3.1</v>
      </c>
      <c r="I11" t="s">
        <v>28</v>
      </c>
      <c r="J11">
        <f t="shared" si="0"/>
        <v>38</v>
      </c>
      <c r="K11" t="str">
        <f t="shared" si="1"/>
        <v>September</v>
      </c>
      <c r="L11" t="str">
        <f t="shared" si="2"/>
        <v>Negative</v>
      </c>
    </row>
    <row r="12" spans="1:12" x14ac:dyDescent="0.3">
      <c r="A12" s="1">
        <v>45910</v>
      </c>
      <c r="B12" t="s">
        <v>32</v>
      </c>
      <c r="C12" t="s">
        <v>13</v>
      </c>
      <c r="D12">
        <v>2</v>
      </c>
      <c r="E12">
        <v>2</v>
      </c>
      <c r="F12">
        <v>5</v>
      </c>
      <c r="G12">
        <v>1</v>
      </c>
      <c r="H12">
        <v>2.6</v>
      </c>
      <c r="I12" t="s">
        <v>33</v>
      </c>
      <c r="J12">
        <f t="shared" si="0"/>
        <v>37</v>
      </c>
      <c r="K12" t="str">
        <f t="shared" si="1"/>
        <v>September</v>
      </c>
      <c r="L12" t="str">
        <f t="shared" si="2"/>
        <v>Negative</v>
      </c>
    </row>
    <row r="13" spans="1:12" x14ac:dyDescent="0.3">
      <c r="A13" s="1">
        <v>45922</v>
      </c>
      <c r="B13" t="s">
        <v>34</v>
      </c>
      <c r="C13" t="s">
        <v>18</v>
      </c>
      <c r="D13">
        <v>3</v>
      </c>
      <c r="E13">
        <v>4</v>
      </c>
      <c r="F13">
        <v>5</v>
      </c>
      <c r="G13">
        <v>3</v>
      </c>
      <c r="H13">
        <v>3.3</v>
      </c>
      <c r="I13" t="s">
        <v>30</v>
      </c>
      <c r="J13">
        <f t="shared" si="0"/>
        <v>39</v>
      </c>
      <c r="K13" t="str">
        <f t="shared" si="1"/>
        <v>September</v>
      </c>
      <c r="L13" t="str">
        <f t="shared" si="2"/>
        <v>Negative</v>
      </c>
    </row>
    <row r="14" spans="1:12" x14ac:dyDescent="0.3">
      <c r="A14" s="1">
        <v>45917</v>
      </c>
      <c r="B14" t="s">
        <v>35</v>
      </c>
      <c r="C14" t="s">
        <v>20</v>
      </c>
      <c r="D14">
        <v>3</v>
      </c>
      <c r="E14">
        <v>5</v>
      </c>
      <c r="F14">
        <v>4</v>
      </c>
      <c r="G14">
        <v>4</v>
      </c>
      <c r="H14">
        <v>4.4000000000000004</v>
      </c>
      <c r="I14" t="s">
        <v>36</v>
      </c>
      <c r="J14">
        <f t="shared" si="0"/>
        <v>38</v>
      </c>
      <c r="K14" t="str">
        <f t="shared" si="1"/>
        <v>September</v>
      </c>
      <c r="L14" t="str">
        <f t="shared" si="2"/>
        <v>Positive</v>
      </c>
    </row>
    <row r="15" spans="1:12" x14ac:dyDescent="0.3">
      <c r="A15" s="1">
        <v>45918</v>
      </c>
      <c r="B15" t="s">
        <v>37</v>
      </c>
      <c r="C15" t="s">
        <v>13</v>
      </c>
      <c r="D15">
        <v>3</v>
      </c>
      <c r="E15">
        <v>1</v>
      </c>
      <c r="F15">
        <v>5</v>
      </c>
      <c r="G15">
        <v>4</v>
      </c>
      <c r="H15">
        <v>3.5</v>
      </c>
      <c r="I15" t="s">
        <v>36</v>
      </c>
      <c r="J15">
        <f t="shared" si="0"/>
        <v>38</v>
      </c>
      <c r="K15" t="str">
        <f t="shared" si="1"/>
        <v>September</v>
      </c>
      <c r="L15" t="str">
        <f t="shared" si="2"/>
        <v>Negative</v>
      </c>
    </row>
    <row r="16" spans="1:12" x14ac:dyDescent="0.3">
      <c r="A16" s="1">
        <v>45928</v>
      </c>
      <c r="B16" t="s">
        <v>38</v>
      </c>
      <c r="C16" t="s">
        <v>18</v>
      </c>
      <c r="D16">
        <v>4</v>
      </c>
      <c r="E16">
        <v>1</v>
      </c>
      <c r="F16">
        <v>5</v>
      </c>
      <c r="G16">
        <v>5</v>
      </c>
      <c r="H16">
        <v>3.8</v>
      </c>
      <c r="I16" t="s">
        <v>39</v>
      </c>
      <c r="J16">
        <f t="shared" si="0"/>
        <v>40</v>
      </c>
      <c r="K16" t="str">
        <f t="shared" si="1"/>
        <v>September</v>
      </c>
      <c r="L16" t="str">
        <f t="shared" si="2"/>
        <v>Negative</v>
      </c>
    </row>
    <row r="17" spans="1:12" x14ac:dyDescent="0.3">
      <c r="A17" s="1">
        <v>45927</v>
      </c>
      <c r="B17" t="s">
        <v>40</v>
      </c>
      <c r="C17" t="s">
        <v>20</v>
      </c>
      <c r="D17">
        <v>1</v>
      </c>
      <c r="E17">
        <v>5</v>
      </c>
      <c r="F17">
        <v>3</v>
      </c>
      <c r="G17">
        <v>3</v>
      </c>
      <c r="H17">
        <v>3.2</v>
      </c>
      <c r="I17" t="s">
        <v>23</v>
      </c>
      <c r="J17">
        <f t="shared" si="0"/>
        <v>39</v>
      </c>
      <c r="K17" t="str">
        <f t="shared" si="1"/>
        <v>September</v>
      </c>
      <c r="L17" t="str">
        <f t="shared" si="2"/>
        <v>Negative</v>
      </c>
    </row>
    <row r="18" spans="1:12" x14ac:dyDescent="0.3">
      <c r="A18" s="1">
        <v>45913</v>
      </c>
      <c r="B18" t="s">
        <v>41</v>
      </c>
      <c r="C18" t="s">
        <v>20</v>
      </c>
      <c r="D18">
        <v>1</v>
      </c>
      <c r="E18">
        <v>3</v>
      </c>
      <c r="F18">
        <v>1</v>
      </c>
      <c r="G18">
        <v>5</v>
      </c>
      <c r="H18">
        <v>2.7</v>
      </c>
      <c r="I18" t="s">
        <v>28</v>
      </c>
      <c r="J18">
        <f t="shared" si="0"/>
        <v>37</v>
      </c>
      <c r="K18" t="str">
        <f t="shared" si="1"/>
        <v>September</v>
      </c>
      <c r="L18" t="str">
        <f t="shared" si="2"/>
        <v>Negative</v>
      </c>
    </row>
    <row r="19" spans="1:12" x14ac:dyDescent="0.3">
      <c r="A19" s="1">
        <v>45912</v>
      </c>
      <c r="B19" t="s">
        <v>42</v>
      </c>
      <c r="C19" t="s">
        <v>20</v>
      </c>
      <c r="D19">
        <v>5</v>
      </c>
      <c r="E19">
        <v>5</v>
      </c>
      <c r="F19">
        <v>4</v>
      </c>
      <c r="G19">
        <v>3</v>
      </c>
      <c r="H19">
        <v>4.5999999999999996</v>
      </c>
      <c r="I19" t="s">
        <v>23</v>
      </c>
      <c r="J19">
        <f t="shared" si="0"/>
        <v>37</v>
      </c>
      <c r="K19" t="str">
        <f t="shared" si="1"/>
        <v>September</v>
      </c>
      <c r="L19" t="str">
        <f t="shared" si="2"/>
        <v>Positive</v>
      </c>
    </row>
    <row r="20" spans="1:12" x14ac:dyDescent="0.3">
      <c r="A20" s="1">
        <v>45931</v>
      </c>
      <c r="B20" t="s">
        <v>43</v>
      </c>
      <c r="C20" t="s">
        <v>20</v>
      </c>
      <c r="D20">
        <v>3</v>
      </c>
      <c r="E20">
        <v>5</v>
      </c>
      <c r="F20">
        <v>4</v>
      </c>
      <c r="G20">
        <v>5</v>
      </c>
      <c r="H20">
        <v>4.5999999999999996</v>
      </c>
      <c r="I20" t="s">
        <v>16</v>
      </c>
      <c r="J20">
        <f t="shared" si="0"/>
        <v>40</v>
      </c>
      <c r="K20" t="str">
        <f t="shared" si="1"/>
        <v>October</v>
      </c>
      <c r="L20" t="str">
        <f t="shared" si="2"/>
        <v>Positive</v>
      </c>
    </row>
    <row r="21" spans="1:12" x14ac:dyDescent="0.3">
      <c r="A21" s="1">
        <v>45929</v>
      </c>
      <c r="B21" t="s">
        <v>44</v>
      </c>
      <c r="C21" t="s">
        <v>18</v>
      </c>
      <c r="D21">
        <v>2</v>
      </c>
      <c r="E21">
        <v>4</v>
      </c>
      <c r="F21">
        <v>5</v>
      </c>
      <c r="G21">
        <v>2</v>
      </c>
      <c r="H21">
        <v>2.9</v>
      </c>
      <c r="I21" t="s">
        <v>21</v>
      </c>
      <c r="J21">
        <f t="shared" si="0"/>
        <v>40</v>
      </c>
      <c r="K21" t="str">
        <f t="shared" si="1"/>
        <v>September</v>
      </c>
      <c r="L21" t="str">
        <f t="shared" si="2"/>
        <v>Negative</v>
      </c>
    </row>
    <row r="22" spans="1:12" x14ac:dyDescent="0.3">
      <c r="A22" s="1">
        <v>45920</v>
      </c>
      <c r="B22" t="s">
        <v>45</v>
      </c>
      <c r="C22" t="s">
        <v>18</v>
      </c>
      <c r="D22">
        <v>4</v>
      </c>
      <c r="E22">
        <v>5</v>
      </c>
      <c r="F22">
        <v>4</v>
      </c>
      <c r="G22">
        <v>5</v>
      </c>
      <c r="H22">
        <v>4.5999999999999996</v>
      </c>
      <c r="I22" t="s">
        <v>30</v>
      </c>
      <c r="J22">
        <f t="shared" si="0"/>
        <v>38</v>
      </c>
      <c r="K22" t="str">
        <f t="shared" si="1"/>
        <v>September</v>
      </c>
      <c r="L22" t="str">
        <f t="shared" si="2"/>
        <v>Positive</v>
      </c>
    </row>
    <row r="23" spans="1:12" x14ac:dyDescent="0.3">
      <c r="A23" s="1">
        <v>45923</v>
      </c>
      <c r="B23" t="s">
        <v>46</v>
      </c>
      <c r="C23" t="s">
        <v>20</v>
      </c>
      <c r="D23">
        <v>5</v>
      </c>
      <c r="E23">
        <v>1</v>
      </c>
      <c r="F23">
        <v>3</v>
      </c>
      <c r="G23">
        <v>5</v>
      </c>
      <c r="H23">
        <v>3.4</v>
      </c>
      <c r="I23" t="s">
        <v>16</v>
      </c>
      <c r="J23">
        <f t="shared" si="0"/>
        <v>39</v>
      </c>
      <c r="K23" t="str">
        <f t="shared" si="1"/>
        <v>September</v>
      </c>
      <c r="L23" t="str">
        <f t="shared" si="2"/>
        <v>Negative</v>
      </c>
    </row>
    <row r="24" spans="1:12" x14ac:dyDescent="0.3">
      <c r="A24" s="1">
        <v>45908</v>
      </c>
      <c r="B24" t="s">
        <v>47</v>
      </c>
      <c r="C24" t="s">
        <v>18</v>
      </c>
      <c r="D24">
        <v>1</v>
      </c>
      <c r="E24">
        <v>5</v>
      </c>
      <c r="F24">
        <v>5</v>
      </c>
      <c r="G24">
        <v>5</v>
      </c>
      <c r="H24">
        <v>3.7</v>
      </c>
      <c r="I24" t="s">
        <v>30</v>
      </c>
      <c r="J24">
        <f t="shared" si="0"/>
        <v>37</v>
      </c>
      <c r="K24" t="str">
        <f t="shared" si="1"/>
        <v>September</v>
      </c>
      <c r="L24" t="str">
        <f t="shared" si="2"/>
        <v>Negative</v>
      </c>
    </row>
    <row r="25" spans="1:12" x14ac:dyDescent="0.3">
      <c r="A25" s="1">
        <v>45908</v>
      </c>
      <c r="B25" t="s">
        <v>48</v>
      </c>
      <c r="C25" t="s">
        <v>13</v>
      </c>
      <c r="D25">
        <v>2</v>
      </c>
      <c r="E25">
        <v>4</v>
      </c>
      <c r="F25">
        <v>3</v>
      </c>
      <c r="G25">
        <v>4</v>
      </c>
      <c r="H25">
        <v>2.9</v>
      </c>
      <c r="I25" t="s">
        <v>49</v>
      </c>
      <c r="J25">
        <f t="shared" si="0"/>
        <v>37</v>
      </c>
      <c r="K25" t="str">
        <f t="shared" si="1"/>
        <v>September</v>
      </c>
      <c r="L25" t="str">
        <f t="shared" si="2"/>
        <v>Negative</v>
      </c>
    </row>
    <row r="26" spans="1:12" x14ac:dyDescent="0.3">
      <c r="A26" s="1">
        <v>45906</v>
      </c>
      <c r="B26" t="s">
        <v>50</v>
      </c>
      <c r="C26" t="s">
        <v>20</v>
      </c>
      <c r="D26">
        <v>3</v>
      </c>
      <c r="E26">
        <v>5</v>
      </c>
      <c r="F26">
        <v>1</v>
      </c>
      <c r="G26">
        <v>4</v>
      </c>
      <c r="H26">
        <v>3.6</v>
      </c>
      <c r="I26" t="s">
        <v>51</v>
      </c>
      <c r="J26">
        <f t="shared" si="0"/>
        <v>36</v>
      </c>
      <c r="K26" t="str">
        <f t="shared" si="1"/>
        <v>September</v>
      </c>
      <c r="L26" t="str">
        <f t="shared" si="2"/>
        <v>Negative</v>
      </c>
    </row>
    <row r="27" spans="1:12" x14ac:dyDescent="0.3">
      <c r="A27" s="1">
        <v>45907</v>
      </c>
      <c r="B27" t="s">
        <v>52</v>
      </c>
      <c r="C27" t="s">
        <v>20</v>
      </c>
      <c r="D27">
        <v>2</v>
      </c>
      <c r="E27">
        <v>4</v>
      </c>
      <c r="F27">
        <v>5</v>
      </c>
      <c r="G27">
        <v>2</v>
      </c>
      <c r="H27">
        <v>3.4</v>
      </c>
      <c r="I27" t="s">
        <v>16</v>
      </c>
      <c r="J27">
        <f t="shared" si="0"/>
        <v>37</v>
      </c>
      <c r="K27" t="str">
        <f t="shared" si="1"/>
        <v>September</v>
      </c>
      <c r="L27" t="str">
        <f t="shared" si="2"/>
        <v>Negative</v>
      </c>
    </row>
    <row r="28" spans="1:12" x14ac:dyDescent="0.3">
      <c r="A28" s="1">
        <v>45920</v>
      </c>
      <c r="B28" t="s">
        <v>53</v>
      </c>
      <c r="C28" t="s">
        <v>13</v>
      </c>
      <c r="D28">
        <v>2</v>
      </c>
      <c r="E28">
        <v>1</v>
      </c>
      <c r="F28">
        <v>1</v>
      </c>
      <c r="G28">
        <v>3</v>
      </c>
      <c r="H28">
        <v>2.2000000000000002</v>
      </c>
      <c r="I28" t="s">
        <v>28</v>
      </c>
      <c r="J28">
        <f t="shared" si="0"/>
        <v>38</v>
      </c>
      <c r="K28" t="str">
        <f t="shared" si="1"/>
        <v>September</v>
      </c>
      <c r="L28" t="str">
        <f t="shared" si="2"/>
        <v>Negative</v>
      </c>
    </row>
    <row r="29" spans="1:12" x14ac:dyDescent="0.3">
      <c r="A29" s="1">
        <v>45915</v>
      </c>
      <c r="B29" t="s">
        <v>54</v>
      </c>
      <c r="C29" t="s">
        <v>18</v>
      </c>
      <c r="D29">
        <v>3</v>
      </c>
      <c r="E29">
        <v>4</v>
      </c>
      <c r="F29">
        <v>3</v>
      </c>
      <c r="G29">
        <v>4</v>
      </c>
      <c r="H29">
        <v>3.1</v>
      </c>
      <c r="I29" t="s">
        <v>23</v>
      </c>
      <c r="J29">
        <f t="shared" si="0"/>
        <v>38</v>
      </c>
      <c r="K29" t="str">
        <f t="shared" si="1"/>
        <v>September</v>
      </c>
      <c r="L29" t="str">
        <f t="shared" si="2"/>
        <v>Negative</v>
      </c>
    </row>
    <row r="30" spans="1:12" x14ac:dyDescent="0.3">
      <c r="A30" s="1">
        <v>45908</v>
      </c>
      <c r="B30" t="s">
        <v>55</v>
      </c>
      <c r="C30" t="s">
        <v>20</v>
      </c>
      <c r="D30">
        <v>5</v>
      </c>
      <c r="E30">
        <v>2</v>
      </c>
      <c r="F30">
        <v>5</v>
      </c>
      <c r="G30">
        <v>1</v>
      </c>
      <c r="H30">
        <v>2.8</v>
      </c>
      <c r="I30" t="s">
        <v>56</v>
      </c>
      <c r="J30">
        <f t="shared" si="0"/>
        <v>37</v>
      </c>
      <c r="K30" t="str">
        <f t="shared" si="1"/>
        <v>September</v>
      </c>
      <c r="L30" t="str">
        <f t="shared" si="2"/>
        <v>Negative</v>
      </c>
    </row>
    <row r="31" spans="1:12" x14ac:dyDescent="0.3">
      <c r="A31" s="1">
        <v>45911</v>
      </c>
      <c r="B31" t="s">
        <v>57</v>
      </c>
      <c r="C31" t="s">
        <v>18</v>
      </c>
      <c r="D31">
        <v>2</v>
      </c>
      <c r="E31">
        <v>4</v>
      </c>
      <c r="F31">
        <v>2</v>
      </c>
      <c r="G31">
        <v>2</v>
      </c>
      <c r="H31">
        <v>2.2000000000000002</v>
      </c>
      <c r="I31" t="s">
        <v>14</v>
      </c>
      <c r="J31">
        <f t="shared" si="0"/>
        <v>37</v>
      </c>
      <c r="K31" t="str">
        <f t="shared" si="1"/>
        <v>September</v>
      </c>
      <c r="L31" t="str">
        <f t="shared" si="2"/>
        <v>Negative</v>
      </c>
    </row>
    <row r="32" spans="1:12" x14ac:dyDescent="0.3">
      <c r="A32" s="1">
        <v>45903</v>
      </c>
      <c r="B32" t="s">
        <v>58</v>
      </c>
      <c r="C32" t="s">
        <v>20</v>
      </c>
      <c r="D32">
        <v>1</v>
      </c>
      <c r="E32">
        <v>3</v>
      </c>
      <c r="F32">
        <v>2</v>
      </c>
      <c r="G32">
        <v>3</v>
      </c>
      <c r="H32">
        <v>2.4</v>
      </c>
      <c r="I32" t="s">
        <v>33</v>
      </c>
      <c r="J32">
        <f t="shared" si="0"/>
        <v>36</v>
      </c>
      <c r="K32" t="str">
        <f t="shared" si="1"/>
        <v>September</v>
      </c>
      <c r="L32" t="str">
        <f t="shared" si="2"/>
        <v>Negative</v>
      </c>
    </row>
    <row r="33" spans="1:12" x14ac:dyDescent="0.3">
      <c r="A33" s="1">
        <v>45928</v>
      </c>
      <c r="B33" t="s">
        <v>59</v>
      </c>
      <c r="C33" t="s">
        <v>13</v>
      </c>
      <c r="D33">
        <v>3</v>
      </c>
      <c r="E33">
        <v>5</v>
      </c>
      <c r="F33">
        <v>4</v>
      </c>
      <c r="G33">
        <v>5</v>
      </c>
      <c r="H33">
        <v>3.8</v>
      </c>
      <c r="I33" t="s">
        <v>49</v>
      </c>
      <c r="J33">
        <f t="shared" si="0"/>
        <v>40</v>
      </c>
      <c r="K33" t="str">
        <f t="shared" si="1"/>
        <v>September</v>
      </c>
      <c r="L33" t="str">
        <f t="shared" si="2"/>
        <v>Negative</v>
      </c>
    </row>
    <row r="34" spans="1:12" x14ac:dyDescent="0.3">
      <c r="A34" s="1">
        <v>45923</v>
      </c>
      <c r="B34" t="s">
        <v>60</v>
      </c>
      <c r="C34" t="s">
        <v>13</v>
      </c>
      <c r="D34">
        <v>1</v>
      </c>
      <c r="E34">
        <v>3</v>
      </c>
      <c r="F34">
        <v>3</v>
      </c>
      <c r="G34">
        <v>2</v>
      </c>
      <c r="H34">
        <v>2.5</v>
      </c>
      <c r="I34" t="s">
        <v>21</v>
      </c>
      <c r="J34">
        <f t="shared" si="0"/>
        <v>39</v>
      </c>
      <c r="K34" t="str">
        <f t="shared" si="1"/>
        <v>September</v>
      </c>
      <c r="L34" t="str">
        <f t="shared" si="2"/>
        <v>Negative</v>
      </c>
    </row>
    <row r="35" spans="1:12" x14ac:dyDescent="0.3">
      <c r="A35" s="1">
        <v>45914</v>
      </c>
      <c r="B35" t="s">
        <v>61</v>
      </c>
      <c r="C35" t="s">
        <v>13</v>
      </c>
      <c r="D35">
        <v>3</v>
      </c>
      <c r="E35">
        <v>1</v>
      </c>
      <c r="F35">
        <v>1</v>
      </c>
      <c r="G35">
        <v>5</v>
      </c>
      <c r="H35">
        <v>2.4</v>
      </c>
      <c r="I35" t="s">
        <v>25</v>
      </c>
      <c r="J35">
        <f t="shared" si="0"/>
        <v>38</v>
      </c>
      <c r="K35" t="str">
        <f t="shared" si="1"/>
        <v>September</v>
      </c>
      <c r="L35" t="str">
        <f t="shared" si="2"/>
        <v>Negative</v>
      </c>
    </row>
    <row r="36" spans="1:12" x14ac:dyDescent="0.3">
      <c r="A36" s="1">
        <v>45910</v>
      </c>
      <c r="B36" t="s">
        <v>62</v>
      </c>
      <c r="C36" t="s">
        <v>13</v>
      </c>
      <c r="D36">
        <v>4</v>
      </c>
      <c r="E36">
        <v>4</v>
      </c>
      <c r="F36">
        <v>1</v>
      </c>
      <c r="G36">
        <v>4</v>
      </c>
      <c r="H36">
        <v>3</v>
      </c>
      <c r="I36" t="s">
        <v>49</v>
      </c>
      <c r="J36">
        <f t="shared" si="0"/>
        <v>37</v>
      </c>
      <c r="K36" t="str">
        <f t="shared" si="1"/>
        <v>September</v>
      </c>
      <c r="L36" t="str">
        <f t="shared" si="2"/>
        <v>Neutral</v>
      </c>
    </row>
    <row r="37" spans="1:12" x14ac:dyDescent="0.3">
      <c r="A37" s="1">
        <v>45927</v>
      </c>
      <c r="B37" t="s">
        <v>63</v>
      </c>
      <c r="C37" t="s">
        <v>20</v>
      </c>
      <c r="D37">
        <v>4</v>
      </c>
      <c r="E37">
        <v>1</v>
      </c>
      <c r="F37">
        <v>4</v>
      </c>
      <c r="G37">
        <v>1</v>
      </c>
      <c r="H37">
        <v>2.2000000000000002</v>
      </c>
      <c r="I37" t="s">
        <v>23</v>
      </c>
      <c r="J37">
        <f t="shared" si="0"/>
        <v>39</v>
      </c>
      <c r="K37" t="str">
        <f t="shared" si="1"/>
        <v>September</v>
      </c>
      <c r="L37" t="str">
        <f t="shared" si="2"/>
        <v>Negative</v>
      </c>
    </row>
    <row r="38" spans="1:12" x14ac:dyDescent="0.3">
      <c r="A38" s="1">
        <v>45912</v>
      </c>
      <c r="B38" t="s">
        <v>64</v>
      </c>
      <c r="C38" t="s">
        <v>20</v>
      </c>
      <c r="D38">
        <v>2</v>
      </c>
      <c r="E38">
        <v>3</v>
      </c>
      <c r="F38">
        <v>2</v>
      </c>
      <c r="G38">
        <v>3</v>
      </c>
      <c r="H38">
        <v>2.1</v>
      </c>
      <c r="I38" t="s">
        <v>39</v>
      </c>
      <c r="J38">
        <f t="shared" si="0"/>
        <v>37</v>
      </c>
      <c r="K38" t="str">
        <f t="shared" si="1"/>
        <v>September</v>
      </c>
      <c r="L38" t="str">
        <f t="shared" si="2"/>
        <v>Negative</v>
      </c>
    </row>
    <row r="39" spans="1:12" x14ac:dyDescent="0.3">
      <c r="A39" s="1">
        <v>45923</v>
      </c>
      <c r="B39" t="s">
        <v>65</v>
      </c>
      <c r="C39" t="s">
        <v>20</v>
      </c>
      <c r="D39">
        <v>4</v>
      </c>
      <c r="E39">
        <v>2</v>
      </c>
      <c r="F39">
        <v>2</v>
      </c>
      <c r="G39">
        <v>4</v>
      </c>
      <c r="H39">
        <v>3.3</v>
      </c>
      <c r="I39" t="s">
        <v>51</v>
      </c>
      <c r="J39">
        <f t="shared" si="0"/>
        <v>39</v>
      </c>
      <c r="K39" t="str">
        <f t="shared" si="1"/>
        <v>September</v>
      </c>
      <c r="L39" t="str">
        <f t="shared" si="2"/>
        <v>Negative</v>
      </c>
    </row>
    <row r="40" spans="1:12" x14ac:dyDescent="0.3">
      <c r="A40" s="1">
        <v>45923</v>
      </c>
      <c r="B40" t="s">
        <v>66</v>
      </c>
      <c r="C40" t="s">
        <v>18</v>
      </c>
      <c r="D40">
        <v>5</v>
      </c>
      <c r="E40">
        <v>2</v>
      </c>
      <c r="F40">
        <v>2</v>
      </c>
      <c r="G40">
        <v>2</v>
      </c>
      <c r="H40">
        <v>2.4</v>
      </c>
      <c r="I40" t="s">
        <v>51</v>
      </c>
      <c r="J40">
        <f t="shared" si="0"/>
        <v>39</v>
      </c>
      <c r="K40" t="str">
        <f t="shared" si="1"/>
        <v>September</v>
      </c>
      <c r="L40" t="str">
        <f t="shared" si="2"/>
        <v>Negative</v>
      </c>
    </row>
    <row r="41" spans="1:12" x14ac:dyDescent="0.3">
      <c r="A41" s="1">
        <v>45905</v>
      </c>
      <c r="B41" t="s">
        <v>67</v>
      </c>
      <c r="C41" t="s">
        <v>13</v>
      </c>
      <c r="D41">
        <v>5</v>
      </c>
      <c r="E41">
        <v>5</v>
      </c>
      <c r="F41">
        <v>3</v>
      </c>
      <c r="G41">
        <v>4</v>
      </c>
      <c r="H41">
        <v>4.0999999999999996</v>
      </c>
      <c r="I41" t="s">
        <v>14</v>
      </c>
      <c r="J41">
        <f t="shared" si="0"/>
        <v>36</v>
      </c>
      <c r="K41" t="str">
        <f t="shared" si="1"/>
        <v>September</v>
      </c>
      <c r="L41" t="str">
        <f t="shared" si="2"/>
        <v>Positive</v>
      </c>
    </row>
    <row r="42" spans="1:12" x14ac:dyDescent="0.3">
      <c r="A42" s="1">
        <v>45906</v>
      </c>
      <c r="B42" t="s">
        <v>68</v>
      </c>
      <c r="C42" t="s">
        <v>13</v>
      </c>
      <c r="D42">
        <v>3</v>
      </c>
      <c r="E42">
        <v>1</v>
      </c>
      <c r="F42">
        <v>4</v>
      </c>
      <c r="G42">
        <v>5</v>
      </c>
      <c r="H42">
        <v>3.4</v>
      </c>
      <c r="I42" t="s">
        <v>14</v>
      </c>
      <c r="J42">
        <f t="shared" si="0"/>
        <v>36</v>
      </c>
      <c r="K42" t="str">
        <f t="shared" si="1"/>
        <v>September</v>
      </c>
      <c r="L42" t="str">
        <f t="shared" si="2"/>
        <v>Negative</v>
      </c>
    </row>
    <row r="43" spans="1:12" x14ac:dyDescent="0.3">
      <c r="A43" s="1">
        <v>45903</v>
      </c>
      <c r="B43" t="s">
        <v>69</v>
      </c>
      <c r="C43" t="s">
        <v>18</v>
      </c>
      <c r="D43">
        <v>2</v>
      </c>
      <c r="E43">
        <v>4</v>
      </c>
      <c r="F43">
        <v>3</v>
      </c>
      <c r="G43">
        <v>1</v>
      </c>
      <c r="H43">
        <v>2.7</v>
      </c>
      <c r="I43" t="s">
        <v>14</v>
      </c>
      <c r="J43">
        <f t="shared" si="0"/>
        <v>36</v>
      </c>
      <c r="K43" t="str">
        <f t="shared" si="1"/>
        <v>September</v>
      </c>
      <c r="L43" t="str">
        <f t="shared" si="2"/>
        <v>Negative</v>
      </c>
    </row>
    <row r="44" spans="1:12" x14ac:dyDescent="0.3">
      <c r="A44" s="1">
        <v>45921</v>
      </c>
      <c r="B44" t="s">
        <v>70</v>
      </c>
      <c r="C44" t="s">
        <v>13</v>
      </c>
      <c r="D44">
        <v>5</v>
      </c>
      <c r="E44">
        <v>4</v>
      </c>
      <c r="F44">
        <v>1</v>
      </c>
      <c r="G44">
        <v>1</v>
      </c>
      <c r="H44">
        <v>3.2</v>
      </c>
      <c r="I44" t="s">
        <v>23</v>
      </c>
      <c r="J44">
        <f t="shared" si="0"/>
        <v>39</v>
      </c>
      <c r="K44" t="str">
        <f t="shared" si="1"/>
        <v>September</v>
      </c>
      <c r="L44" t="str">
        <f t="shared" si="2"/>
        <v>Negative</v>
      </c>
    </row>
    <row r="45" spans="1:12" x14ac:dyDescent="0.3">
      <c r="A45" s="1">
        <v>45905</v>
      </c>
      <c r="B45" t="s">
        <v>71</v>
      </c>
      <c r="C45" t="s">
        <v>18</v>
      </c>
      <c r="D45">
        <v>1</v>
      </c>
      <c r="E45">
        <v>2</v>
      </c>
      <c r="F45">
        <v>5</v>
      </c>
      <c r="G45">
        <v>5</v>
      </c>
      <c r="H45">
        <v>3.1</v>
      </c>
      <c r="I45" t="s">
        <v>14</v>
      </c>
      <c r="J45">
        <f t="shared" si="0"/>
        <v>36</v>
      </c>
      <c r="K45" t="str">
        <f t="shared" si="1"/>
        <v>September</v>
      </c>
      <c r="L45" t="str">
        <f t="shared" si="2"/>
        <v>Negative</v>
      </c>
    </row>
    <row r="46" spans="1:12" x14ac:dyDescent="0.3">
      <c r="A46" s="1">
        <v>45913</v>
      </c>
      <c r="B46" t="s">
        <v>72</v>
      </c>
      <c r="C46" t="s">
        <v>18</v>
      </c>
      <c r="D46">
        <v>2</v>
      </c>
      <c r="E46">
        <v>1</v>
      </c>
      <c r="F46">
        <v>4</v>
      </c>
      <c r="G46">
        <v>5</v>
      </c>
      <c r="H46">
        <v>3.3</v>
      </c>
      <c r="I46" t="s">
        <v>36</v>
      </c>
      <c r="J46">
        <f t="shared" si="0"/>
        <v>37</v>
      </c>
      <c r="K46" t="str">
        <f t="shared" si="1"/>
        <v>September</v>
      </c>
      <c r="L46" t="str">
        <f t="shared" si="2"/>
        <v>Negative</v>
      </c>
    </row>
    <row r="47" spans="1:12" x14ac:dyDescent="0.3">
      <c r="A47" s="1">
        <v>45905</v>
      </c>
      <c r="B47" t="s">
        <v>73</v>
      </c>
      <c r="C47" t="s">
        <v>13</v>
      </c>
      <c r="D47">
        <v>1</v>
      </c>
      <c r="E47">
        <v>1</v>
      </c>
      <c r="F47">
        <v>1</v>
      </c>
      <c r="G47">
        <v>4</v>
      </c>
      <c r="H47">
        <v>1.3</v>
      </c>
      <c r="I47" t="s">
        <v>21</v>
      </c>
      <c r="J47">
        <f t="shared" si="0"/>
        <v>36</v>
      </c>
      <c r="K47" t="str">
        <f t="shared" si="1"/>
        <v>September</v>
      </c>
      <c r="L47" t="str">
        <f t="shared" si="2"/>
        <v>Negative</v>
      </c>
    </row>
    <row r="48" spans="1:12" x14ac:dyDescent="0.3">
      <c r="A48" s="1">
        <v>45921</v>
      </c>
      <c r="B48" t="s">
        <v>74</v>
      </c>
      <c r="C48" t="s">
        <v>20</v>
      </c>
      <c r="D48">
        <v>3</v>
      </c>
      <c r="E48">
        <v>2</v>
      </c>
      <c r="F48">
        <v>3</v>
      </c>
      <c r="G48">
        <v>3</v>
      </c>
      <c r="H48">
        <v>3</v>
      </c>
      <c r="I48" t="s">
        <v>21</v>
      </c>
      <c r="J48">
        <f t="shared" si="0"/>
        <v>39</v>
      </c>
      <c r="K48" t="str">
        <f t="shared" si="1"/>
        <v>September</v>
      </c>
      <c r="L48" t="str">
        <f t="shared" si="2"/>
        <v>Neutral</v>
      </c>
    </row>
    <row r="49" spans="1:12" x14ac:dyDescent="0.3">
      <c r="A49" s="1">
        <v>45902</v>
      </c>
      <c r="B49" t="s">
        <v>75</v>
      </c>
      <c r="C49" t="s">
        <v>20</v>
      </c>
      <c r="D49">
        <v>3</v>
      </c>
      <c r="E49">
        <v>1</v>
      </c>
      <c r="F49">
        <v>2</v>
      </c>
      <c r="G49">
        <v>1</v>
      </c>
      <c r="H49">
        <v>1.4</v>
      </c>
      <c r="I49" t="s">
        <v>21</v>
      </c>
      <c r="J49">
        <f t="shared" si="0"/>
        <v>36</v>
      </c>
      <c r="K49" t="str">
        <f t="shared" si="1"/>
        <v>September</v>
      </c>
      <c r="L49" t="str">
        <f t="shared" si="2"/>
        <v>Negative</v>
      </c>
    </row>
    <row r="50" spans="1:12" x14ac:dyDescent="0.3">
      <c r="A50" s="1">
        <v>45911</v>
      </c>
      <c r="B50" t="s">
        <v>76</v>
      </c>
      <c r="C50" t="s">
        <v>13</v>
      </c>
      <c r="D50">
        <v>2</v>
      </c>
      <c r="E50">
        <v>4</v>
      </c>
      <c r="F50">
        <v>5</v>
      </c>
      <c r="G50">
        <v>2</v>
      </c>
      <c r="H50">
        <v>2.8</v>
      </c>
      <c r="I50" t="s">
        <v>77</v>
      </c>
      <c r="J50">
        <f t="shared" si="0"/>
        <v>37</v>
      </c>
      <c r="K50" t="str">
        <f t="shared" si="1"/>
        <v>September</v>
      </c>
      <c r="L50" t="str">
        <f t="shared" si="2"/>
        <v>Negative</v>
      </c>
    </row>
    <row r="51" spans="1:12" x14ac:dyDescent="0.3">
      <c r="A51" s="1">
        <v>45913</v>
      </c>
      <c r="B51" t="s">
        <v>78</v>
      </c>
      <c r="C51" t="s">
        <v>18</v>
      </c>
      <c r="D51">
        <v>1</v>
      </c>
      <c r="E51">
        <v>4</v>
      </c>
      <c r="F51">
        <v>1</v>
      </c>
      <c r="G51">
        <v>5</v>
      </c>
      <c r="H51">
        <v>3.1</v>
      </c>
      <c r="I51" t="s">
        <v>36</v>
      </c>
      <c r="J51">
        <f t="shared" si="0"/>
        <v>37</v>
      </c>
      <c r="K51" t="str">
        <f t="shared" si="1"/>
        <v>September</v>
      </c>
      <c r="L51" t="str">
        <f t="shared" si="2"/>
        <v>Negative</v>
      </c>
    </row>
    <row r="52" spans="1:12" x14ac:dyDescent="0.3">
      <c r="A52" s="1">
        <v>45901</v>
      </c>
      <c r="B52" t="s">
        <v>79</v>
      </c>
      <c r="C52" t="s">
        <v>20</v>
      </c>
      <c r="D52">
        <v>4</v>
      </c>
      <c r="E52">
        <v>4</v>
      </c>
      <c r="F52">
        <v>4</v>
      </c>
      <c r="G52">
        <v>5</v>
      </c>
      <c r="H52">
        <v>4.5999999999999996</v>
      </c>
      <c r="I52" t="s">
        <v>80</v>
      </c>
      <c r="J52">
        <f t="shared" si="0"/>
        <v>36</v>
      </c>
      <c r="K52" t="str">
        <f t="shared" si="1"/>
        <v>September</v>
      </c>
      <c r="L52" t="str">
        <f t="shared" si="2"/>
        <v>Positive</v>
      </c>
    </row>
    <row r="53" spans="1:12" x14ac:dyDescent="0.3">
      <c r="A53" s="1">
        <v>45904</v>
      </c>
      <c r="B53" t="s">
        <v>81</v>
      </c>
      <c r="C53" t="s">
        <v>13</v>
      </c>
      <c r="D53">
        <v>5</v>
      </c>
      <c r="E53">
        <v>4</v>
      </c>
      <c r="F53">
        <v>4</v>
      </c>
      <c r="G53">
        <v>5</v>
      </c>
      <c r="H53">
        <v>4.5999999999999996</v>
      </c>
      <c r="I53" t="s">
        <v>30</v>
      </c>
      <c r="J53">
        <f t="shared" si="0"/>
        <v>36</v>
      </c>
      <c r="K53" t="str">
        <f t="shared" si="1"/>
        <v>September</v>
      </c>
      <c r="L53" t="str">
        <f t="shared" si="2"/>
        <v>Positive</v>
      </c>
    </row>
    <row r="54" spans="1:12" x14ac:dyDescent="0.3">
      <c r="A54" s="1">
        <v>45911</v>
      </c>
      <c r="B54" t="s">
        <v>82</v>
      </c>
      <c r="C54" t="s">
        <v>13</v>
      </c>
      <c r="D54">
        <v>4</v>
      </c>
      <c r="E54">
        <v>5</v>
      </c>
      <c r="F54">
        <v>1</v>
      </c>
      <c r="G54">
        <v>4</v>
      </c>
      <c r="H54">
        <v>3.5</v>
      </c>
      <c r="I54" t="s">
        <v>36</v>
      </c>
      <c r="J54">
        <f t="shared" si="0"/>
        <v>37</v>
      </c>
      <c r="K54" t="str">
        <f t="shared" si="1"/>
        <v>September</v>
      </c>
      <c r="L54" t="str">
        <f t="shared" si="2"/>
        <v>Negative</v>
      </c>
    </row>
    <row r="55" spans="1:12" x14ac:dyDescent="0.3">
      <c r="A55" s="1">
        <v>45924</v>
      </c>
      <c r="B55" t="s">
        <v>83</v>
      </c>
      <c r="C55" t="s">
        <v>20</v>
      </c>
      <c r="D55">
        <v>1</v>
      </c>
      <c r="E55">
        <v>4</v>
      </c>
      <c r="F55">
        <v>2</v>
      </c>
      <c r="G55">
        <v>1</v>
      </c>
      <c r="H55">
        <v>1.6</v>
      </c>
      <c r="I55" t="s">
        <v>28</v>
      </c>
      <c r="J55">
        <f t="shared" si="0"/>
        <v>39</v>
      </c>
      <c r="K55" t="str">
        <f t="shared" si="1"/>
        <v>September</v>
      </c>
      <c r="L55" t="str">
        <f t="shared" si="2"/>
        <v>Negative</v>
      </c>
    </row>
    <row r="56" spans="1:12" x14ac:dyDescent="0.3">
      <c r="A56" s="1">
        <v>45920</v>
      </c>
      <c r="B56" t="s">
        <v>84</v>
      </c>
      <c r="C56" t="s">
        <v>20</v>
      </c>
      <c r="D56">
        <v>2</v>
      </c>
      <c r="E56">
        <v>4</v>
      </c>
      <c r="F56">
        <v>3</v>
      </c>
      <c r="G56">
        <v>2</v>
      </c>
      <c r="H56">
        <v>2.9</v>
      </c>
      <c r="I56" t="s">
        <v>16</v>
      </c>
      <c r="J56">
        <f t="shared" si="0"/>
        <v>38</v>
      </c>
      <c r="K56" t="str">
        <f t="shared" si="1"/>
        <v>September</v>
      </c>
      <c r="L56" t="str">
        <f t="shared" si="2"/>
        <v>Negative</v>
      </c>
    </row>
    <row r="57" spans="1:12" x14ac:dyDescent="0.3">
      <c r="A57" s="1">
        <v>45930</v>
      </c>
      <c r="B57" t="s">
        <v>85</v>
      </c>
      <c r="C57" t="s">
        <v>20</v>
      </c>
      <c r="D57">
        <v>3</v>
      </c>
      <c r="E57">
        <v>5</v>
      </c>
      <c r="F57">
        <v>2</v>
      </c>
      <c r="G57">
        <v>5</v>
      </c>
      <c r="H57">
        <v>3.3</v>
      </c>
      <c r="I57" t="s">
        <v>23</v>
      </c>
      <c r="J57">
        <f t="shared" si="0"/>
        <v>40</v>
      </c>
      <c r="K57" t="str">
        <f t="shared" si="1"/>
        <v>September</v>
      </c>
      <c r="L57" t="str">
        <f t="shared" si="2"/>
        <v>Negative</v>
      </c>
    </row>
    <row r="58" spans="1:12" x14ac:dyDescent="0.3">
      <c r="A58" s="1">
        <v>45931</v>
      </c>
      <c r="B58" t="s">
        <v>86</v>
      </c>
      <c r="C58" t="s">
        <v>18</v>
      </c>
      <c r="D58">
        <v>4</v>
      </c>
      <c r="E58">
        <v>1</v>
      </c>
      <c r="F58">
        <v>2</v>
      </c>
      <c r="G58">
        <v>5</v>
      </c>
      <c r="H58">
        <v>3.2</v>
      </c>
      <c r="I58" t="s">
        <v>25</v>
      </c>
      <c r="J58">
        <f t="shared" si="0"/>
        <v>40</v>
      </c>
      <c r="K58" t="str">
        <f t="shared" si="1"/>
        <v>October</v>
      </c>
      <c r="L58" t="str">
        <f t="shared" si="2"/>
        <v>Negative</v>
      </c>
    </row>
    <row r="59" spans="1:12" x14ac:dyDescent="0.3">
      <c r="A59" s="1">
        <v>45916</v>
      </c>
      <c r="B59" t="s">
        <v>87</v>
      </c>
      <c r="C59" t="s">
        <v>20</v>
      </c>
      <c r="D59">
        <v>3</v>
      </c>
      <c r="E59">
        <v>4</v>
      </c>
      <c r="F59">
        <v>3</v>
      </c>
      <c r="G59">
        <v>1</v>
      </c>
      <c r="H59">
        <v>2.4</v>
      </c>
      <c r="I59" t="s">
        <v>23</v>
      </c>
      <c r="J59">
        <f t="shared" si="0"/>
        <v>38</v>
      </c>
      <c r="K59" t="str">
        <f t="shared" si="1"/>
        <v>September</v>
      </c>
      <c r="L59" t="str">
        <f t="shared" si="2"/>
        <v>Negative</v>
      </c>
    </row>
    <row r="60" spans="1:12" x14ac:dyDescent="0.3">
      <c r="A60" s="1">
        <v>45903</v>
      </c>
      <c r="B60" t="s">
        <v>88</v>
      </c>
      <c r="C60" t="s">
        <v>18</v>
      </c>
      <c r="D60">
        <v>4</v>
      </c>
      <c r="E60">
        <v>1</v>
      </c>
      <c r="F60">
        <v>5</v>
      </c>
      <c r="G60">
        <v>3</v>
      </c>
      <c r="H60">
        <v>3.3</v>
      </c>
      <c r="I60" t="s">
        <v>49</v>
      </c>
      <c r="J60">
        <f t="shared" si="0"/>
        <v>36</v>
      </c>
      <c r="K60" t="str">
        <f t="shared" si="1"/>
        <v>September</v>
      </c>
      <c r="L60" t="str">
        <f t="shared" si="2"/>
        <v>Negative</v>
      </c>
    </row>
    <row r="61" spans="1:12" x14ac:dyDescent="0.3">
      <c r="A61" s="1">
        <v>45921</v>
      </c>
      <c r="B61" t="s">
        <v>89</v>
      </c>
      <c r="C61" t="s">
        <v>18</v>
      </c>
      <c r="D61">
        <v>4</v>
      </c>
      <c r="E61">
        <v>2</v>
      </c>
      <c r="F61">
        <v>3</v>
      </c>
      <c r="G61">
        <v>4</v>
      </c>
      <c r="H61">
        <v>3.4</v>
      </c>
      <c r="I61" t="s">
        <v>49</v>
      </c>
      <c r="J61">
        <f t="shared" si="0"/>
        <v>39</v>
      </c>
      <c r="K61" t="str">
        <f t="shared" si="1"/>
        <v>September</v>
      </c>
      <c r="L61" t="str">
        <f t="shared" si="2"/>
        <v>Negative</v>
      </c>
    </row>
    <row r="62" spans="1:12" x14ac:dyDescent="0.3">
      <c r="A62" s="1">
        <v>45931</v>
      </c>
      <c r="B62" t="s">
        <v>90</v>
      </c>
      <c r="C62" t="s">
        <v>13</v>
      </c>
      <c r="D62">
        <v>3</v>
      </c>
      <c r="E62">
        <v>4</v>
      </c>
      <c r="F62">
        <v>5</v>
      </c>
      <c r="G62">
        <v>3</v>
      </c>
      <c r="H62">
        <v>3.6</v>
      </c>
      <c r="I62" t="s">
        <v>28</v>
      </c>
      <c r="J62">
        <f t="shared" si="0"/>
        <v>40</v>
      </c>
      <c r="K62" t="str">
        <f t="shared" si="1"/>
        <v>October</v>
      </c>
      <c r="L62" t="str">
        <f t="shared" si="2"/>
        <v>Negative</v>
      </c>
    </row>
    <row r="63" spans="1:12" x14ac:dyDescent="0.3">
      <c r="A63" s="1">
        <v>45927</v>
      </c>
      <c r="B63" t="s">
        <v>91</v>
      </c>
      <c r="C63" t="s">
        <v>20</v>
      </c>
      <c r="D63">
        <v>3</v>
      </c>
      <c r="E63">
        <v>2</v>
      </c>
      <c r="F63">
        <v>3</v>
      </c>
      <c r="G63">
        <v>3</v>
      </c>
      <c r="H63">
        <v>2.6</v>
      </c>
      <c r="I63" t="s">
        <v>49</v>
      </c>
      <c r="J63">
        <f t="shared" si="0"/>
        <v>39</v>
      </c>
      <c r="K63" t="str">
        <f t="shared" si="1"/>
        <v>September</v>
      </c>
      <c r="L63" t="str">
        <f t="shared" si="2"/>
        <v>Negative</v>
      </c>
    </row>
    <row r="64" spans="1:12" x14ac:dyDescent="0.3">
      <c r="A64" s="1">
        <v>45926</v>
      </c>
      <c r="B64" t="s">
        <v>92</v>
      </c>
      <c r="C64" t="s">
        <v>18</v>
      </c>
      <c r="D64">
        <v>4</v>
      </c>
      <c r="E64">
        <v>2</v>
      </c>
      <c r="F64">
        <v>3</v>
      </c>
      <c r="G64">
        <v>4</v>
      </c>
      <c r="H64">
        <v>3.1</v>
      </c>
      <c r="I64" t="s">
        <v>51</v>
      </c>
      <c r="J64">
        <f t="shared" si="0"/>
        <v>39</v>
      </c>
      <c r="K64" t="str">
        <f t="shared" si="1"/>
        <v>September</v>
      </c>
      <c r="L64" t="str">
        <f t="shared" si="2"/>
        <v>Negative</v>
      </c>
    </row>
    <row r="65" spans="1:12" x14ac:dyDescent="0.3">
      <c r="A65" s="1">
        <v>45904</v>
      </c>
      <c r="B65" t="s">
        <v>93</v>
      </c>
      <c r="C65" t="s">
        <v>13</v>
      </c>
      <c r="D65">
        <v>4</v>
      </c>
      <c r="E65">
        <v>1</v>
      </c>
      <c r="F65">
        <v>2</v>
      </c>
      <c r="G65">
        <v>5</v>
      </c>
      <c r="H65">
        <v>2.7</v>
      </c>
      <c r="I65" t="s">
        <v>36</v>
      </c>
      <c r="J65">
        <f t="shared" si="0"/>
        <v>36</v>
      </c>
      <c r="K65" t="str">
        <f t="shared" si="1"/>
        <v>September</v>
      </c>
      <c r="L65" t="str">
        <f t="shared" si="2"/>
        <v>Negative</v>
      </c>
    </row>
    <row r="66" spans="1:12" x14ac:dyDescent="0.3">
      <c r="A66" s="1">
        <v>45905</v>
      </c>
      <c r="B66" t="s">
        <v>94</v>
      </c>
      <c r="C66" t="s">
        <v>18</v>
      </c>
      <c r="D66">
        <v>4</v>
      </c>
      <c r="E66">
        <v>4</v>
      </c>
      <c r="F66">
        <v>3</v>
      </c>
      <c r="G66">
        <v>4</v>
      </c>
      <c r="H66">
        <v>3.4</v>
      </c>
      <c r="I66" t="s">
        <v>23</v>
      </c>
      <c r="J66">
        <f t="shared" si="0"/>
        <v>36</v>
      </c>
      <c r="K66" t="str">
        <f t="shared" si="1"/>
        <v>September</v>
      </c>
      <c r="L66" t="str">
        <f t="shared" si="2"/>
        <v>Negative</v>
      </c>
    </row>
    <row r="67" spans="1:12" x14ac:dyDescent="0.3">
      <c r="A67" s="1">
        <v>45919</v>
      </c>
      <c r="B67" t="s">
        <v>95</v>
      </c>
      <c r="C67" t="s">
        <v>20</v>
      </c>
      <c r="D67">
        <v>2</v>
      </c>
      <c r="E67">
        <v>2</v>
      </c>
      <c r="F67">
        <v>2</v>
      </c>
      <c r="G67">
        <v>2</v>
      </c>
      <c r="H67">
        <v>2.4</v>
      </c>
      <c r="I67" t="s">
        <v>51</v>
      </c>
      <c r="J67">
        <f t="shared" ref="J67:J101" si="3">WEEKNUM(A67)</f>
        <v>38</v>
      </c>
      <c r="K67" t="str">
        <f t="shared" ref="K67:K101" si="4">TEXT(A67,"MMMM")</f>
        <v>September</v>
      </c>
      <c r="L67" t="str">
        <f t="shared" ref="L67:L101" si="5">IF(H67&gt;=4,"Positive",IF(H67=3,"Neutral","Negative"))</f>
        <v>Negative</v>
      </c>
    </row>
    <row r="68" spans="1:12" x14ac:dyDescent="0.3">
      <c r="A68" s="1">
        <v>45919</v>
      </c>
      <c r="B68" t="s">
        <v>96</v>
      </c>
      <c r="C68" t="s">
        <v>13</v>
      </c>
      <c r="D68">
        <v>1</v>
      </c>
      <c r="E68">
        <v>5</v>
      </c>
      <c r="F68">
        <v>5</v>
      </c>
      <c r="G68">
        <v>3</v>
      </c>
      <c r="H68">
        <v>3.2</v>
      </c>
      <c r="I68" t="s">
        <v>51</v>
      </c>
      <c r="J68">
        <f t="shared" si="3"/>
        <v>38</v>
      </c>
      <c r="K68" t="str">
        <f t="shared" si="4"/>
        <v>September</v>
      </c>
      <c r="L68" t="str">
        <f t="shared" si="5"/>
        <v>Negative</v>
      </c>
    </row>
    <row r="69" spans="1:12" x14ac:dyDescent="0.3">
      <c r="A69" s="1">
        <v>45928</v>
      </c>
      <c r="B69" t="s">
        <v>97</v>
      </c>
      <c r="C69" t="s">
        <v>13</v>
      </c>
      <c r="D69">
        <v>5</v>
      </c>
      <c r="E69">
        <v>1</v>
      </c>
      <c r="F69">
        <v>4</v>
      </c>
      <c r="G69">
        <v>5</v>
      </c>
      <c r="H69">
        <v>4.2</v>
      </c>
      <c r="I69" t="s">
        <v>51</v>
      </c>
      <c r="J69">
        <f t="shared" si="3"/>
        <v>40</v>
      </c>
      <c r="K69" t="str">
        <f t="shared" si="4"/>
        <v>September</v>
      </c>
      <c r="L69" t="str">
        <f t="shared" si="5"/>
        <v>Positive</v>
      </c>
    </row>
    <row r="70" spans="1:12" x14ac:dyDescent="0.3">
      <c r="A70" s="1">
        <v>45901</v>
      </c>
      <c r="B70" t="s">
        <v>98</v>
      </c>
      <c r="C70" t="s">
        <v>18</v>
      </c>
      <c r="D70">
        <v>4</v>
      </c>
      <c r="E70">
        <v>5</v>
      </c>
      <c r="F70">
        <v>1</v>
      </c>
      <c r="G70">
        <v>3</v>
      </c>
      <c r="H70">
        <v>3</v>
      </c>
      <c r="I70" t="s">
        <v>33</v>
      </c>
      <c r="J70">
        <f t="shared" si="3"/>
        <v>36</v>
      </c>
      <c r="K70" t="str">
        <f t="shared" si="4"/>
        <v>September</v>
      </c>
      <c r="L70" t="str">
        <f t="shared" si="5"/>
        <v>Neutral</v>
      </c>
    </row>
    <row r="71" spans="1:12" x14ac:dyDescent="0.3">
      <c r="A71" s="1">
        <v>45913</v>
      </c>
      <c r="B71" t="s">
        <v>99</v>
      </c>
      <c r="C71" t="s">
        <v>13</v>
      </c>
      <c r="D71">
        <v>4</v>
      </c>
      <c r="E71">
        <v>2</v>
      </c>
      <c r="F71">
        <v>4</v>
      </c>
      <c r="G71">
        <v>4</v>
      </c>
      <c r="H71">
        <v>3.4</v>
      </c>
      <c r="I71" t="s">
        <v>77</v>
      </c>
      <c r="J71">
        <f t="shared" si="3"/>
        <v>37</v>
      </c>
      <c r="K71" t="str">
        <f t="shared" si="4"/>
        <v>September</v>
      </c>
      <c r="L71" t="str">
        <f t="shared" si="5"/>
        <v>Negative</v>
      </c>
    </row>
    <row r="72" spans="1:12" x14ac:dyDescent="0.3">
      <c r="A72" s="1">
        <v>45908</v>
      </c>
      <c r="B72" t="s">
        <v>100</v>
      </c>
      <c r="C72" t="s">
        <v>20</v>
      </c>
      <c r="D72">
        <v>5</v>
      </c>
      <c r="E72">
        <v>1</v>
      </c>
      <c r="F72">
        <v>2</v>
      </c>
      <c r="G72">
        <v>5</v>
      </c>
      <c r="H72">
        <v>3.4</v>
      </c>
      <c r="I72" t="s">
        <v>30</v>
      </c>
      <c r="J72">
        <f t="shared" si="3"/>
        <v>37</v>
      </c>
      <c r="K72" t="str">
        <f t="shared" si="4"/>
        <v>September</v>
      </c>
      <c r="L72" t="str">
        <f t="shared" si="5"/>
        <v>Negative</v>
      </c>
    </row>
    <row r="73" spans="1:12" x14ac:dyDescent="0.3">
      <c r="A73" s="1">
        <v>45903</v>
      </c>
      <c r="B73" t="s">
        <v>101</v>
      </c>
      <c r="C73" t="s">
        <v>18</v>
      </c>
      <c r="D73">
        <v>5</v>
      </c>
      <c r="E73">
        <v>3</v>
      </c>
      <c r="F73">
        <v>5</v>
      </c>
      <c r="G73">
        <v>1</v>
      </c>
      <c r="H73">
        <v>3.5</v>
      </c>
      <c r="I73" t="s">
        <v>77</v>
      </c>
      <c r="J73">
        <f t="shared" si="3"/>
        <v>36</v>
      </c>
      <c r="K73" t="str">
        <f t="shared" si="4"/>
        <v>September</v>
      </c>
      <c r="L73" t="str">
        <f t="shared" si="5"/>
        <v>Negative</v>
      </c>
    </row>
    <row r="74" spans="1:12" x14ac:dyDescent="0.3">
      <c r="A74" s="1">
        <v>45927</v>
      </c>
      <c r="B74" t="s">
        <v>102</v>
      </c>
      <c r="C74" t="s">
        <v>20</v>
      </c>
      <c r="D74">
        <v>3</v>
      </c>
      <c r="E74">
        <v>4</v>
      </c>
      <c r="F74">
        <v>3</v>
      </c>
      <c r="G74">
        <v>1</v>
      </c>
      <c r="H74">
        <v>2.6</v>
      </c>
      <c r="I74" t="s">
        <v>80</v>
      </c>
      <c r="J74">
        <f t="shared" si="3"/>
        <v>39</v>
      </c>
      <c r="K74" t="str">
        <f t="shared" si="4"/>
        <v>September</v>
      </c>
      <c r="L74" t="str">
        <f t="shared" si="5"/>
        <v>Negative</v>
      </c>
    </row>
    <row r="75" spans="1:12" x14ac:dyDescent="0.3">
      <c r="A75" s="1">
        <v>45931</v>
      </c>
      <c r="B75" t="s">
        <v>103</v>
      </c>
      <c r="C75" t="s">
        <v>13</v>
      </c>
      <c r="D75">
        <v>1</v>
      </c>
      <c r="E75">
        <v>3</v>
      </c>
      <c r="F75">
        <v>4</v>
      </c>
      <c r="G75">
        <v>1</v>
      </c>
      <c r="H75">
        <v>2.6</v>
      </c>
      <c r="I75" t="s">
        <v>30</v>
      </c>
      <c r="J75">
        <f t="shared" si="3"/>
        <v>40</v>
      </c>
      <c r="K75" t="str">
        <f t="shared" si="4"/>
        <v>October</v>
      </c>
      <c r="L75" t="str">
        <f t="shared" si="5"/>
        <v>Negative</v>
      </c>
    </row>
    <row r="76" spans="1:12" x14ac:dyDescent="0.3">
      <c r="A76" s="1">
        <v>45909</v>
      </c>
      <c r="B76" t="s">
        <v>104</v>
      </c>
      <c r="C76" t="s">
        <v>18</v>
      </c>
      <c r="D76">
        <v>3</v>
      </c>
      <c r="E76">
        <v>4</v>
      </c>
      <c r="F76">
        <v>2</v>
      </c>
      <c r="G76">
        <v>3</v>
      </c>
      <c r="H76">
        <v>2.6</v>
      </c>
      <c r="I76" t="s">
        <v>56</v>
      </c>
      <c r="J76">
        <f t="shared" si="3"/>
        <v>37</v>
      </c>
      <c r="K76" t="str">
        <f t="shared" si="4"/>
        <v>September</v>
      </c>
      <c r="L76" t="str">
        <f t="shared" si="5"/>
        <v>Negative</v>
      </c>
    </row>
    <row r="77" spans="1:12" x14ac:dyDescent="0.3">
      <c r="A77" s="1">
        <v>45922</v>
      </c>
      <c r="B77" t="s">
        <v>105</v>
      </c>
      <c r="C77" t="s">
        <v>13</v>
      </c>
      <c r="D77">
        <v>2</v>
      </c>
      <c r="E77">
        <v>2</v>
      </c>
      <c r="F77">
        <v>2</v>
      </c>
      <c r="G77">
        <v>4</v>
      </c>
      <c r="H77">
        <v>2.1</v>
      </c>
      <c r="I77" t="s">
        <v>23</v>
      </c>
      <c r="J77">
        <f t="shared" si="3"/>
        <v>39</v>
      </c>
      <c r="K77" t="str">
        <f t="shared" si="4"/>
        <v>September</v>
      </c>
      <c r="L77" t="str">
        <f t="shared" si="5"/>
        <v>Negative</v>
      </c>
    </row>
    <row r="78" spans="1:12" x14ac:dyDescent="0.3">
      <c r="A78" s="1">
        <v>45903</v>
      </c>
      <c r="B78" t="s">
        <v>106</v>
      </c>
      <c r="C78" t="s">
        <v>18</v>
      </c>
      <c r="D78">
        <v>1</v>
      </c>
      <c r="E78">
        <v>2</v>
      </c>
      <c r="F78">
        <v>2</v>
      </c>
      <c r="G78">
        <v>2</v>
      </c>
      <c r="H78">
        <v>2</v>
      </c>
      <c r="I78" t="s">
        <v>25</v>
      </c>
      <c r="J78">
        <f t="shared" si="3"/>
        <v>36</v>
      </c>
      <c r="K78" t="str">
        <f t="shared" si="4"/>
        <v>September</v>
      </c>
      <c r="L78" t="str">
        <f t="shared" si="5"/>
        <v>Negative</v>
      </c>
    </row>
    <row r="79" spans="1:12" x14ac:dyDescent="0.3">
      <c r="A79" s="1">
        <v>45914</v>
      </c>
      <c r="B79" t="s">
        <v>107</v>
      </c>
      <c r="C79" t="s">
        <v>20</v>
      </c>
      <c r="D79">
        <v>2</v>
      </c>
      <c r="E79">
        <v>3</v>
      </c>
      <c r="F79">
        <v>4</v>
      </c>
      <c r="G79">
        <v>1</v>
      </c>
      <c r="H79">
        <v>2.6</v>
      </c>
      <c r="I79" t="s">
        <v>39</v>
      </c>
      <c r="J79">
        <f t="shared" si="3"/>
        <v>38</v>
      </c>
      <c r="K79" t="str">
        <f t="shared" si="4"/>
        <v>September</v>
      </c>
      <c r="L79" t="str">
        <f t="shared" si="5"/>
        <v>Negative</v>
      </c>
    </row>
    <row r="80" spans="1:12" x14ac:dyDescent="0.3">
      <c r="A80" s="1">
        <v>45915</v>
      </c>
      <c r="B80" t="s">
        <v>108</v>
      </c>
      <c r="C80" t="s">
        <v>18</v>
      </c>
      <c r="D80">
        <v>3</v>
      </c>
      <c r="E80">
        <v>2</v>
      </c>
      <c r="F80">
        <v>2</v>
      </c>
      <c r="G80">
        <v>1</v>
      </c>
      <c r="H80">
        <v>1.9</v>
      </c>
      <c r="I80" t="s">
        <v>28</v>
      </c>
      <c r="J80">
        <f t="shared" si="3"/>
        <v>38</v>
      </c>
      <c r="K80" t="str">
        <f t="shared" si="4"/>
        <v>September</v>
      </c>
      <c r="L80" t="str">
        <f t="shared" si="5"/>
        <v>Negative</v>
      </c>
    </row>
    <row r="81" spans="1:12" x14ac:dyDescent="0.3">
      <c r="A81" s="1">
        <v>45924</v>
      </c>
      <c r="B81" t="s">
        <v>109</v>
      </c>
      <c r="C81" t="s">
        <v>13</v>
      </c>
      <c r="D81">
        <v>2</v>
      </c>
      <c r="E81">
        <v>1</v>
      </c>
      <c r="F81">
        <v>4</v>
      </c>
      <c r="G81">
        <v>3</v>
      </c>
      <c r="H81">
        <v>2.8</v>
      </c>
      <c r="I81" t="s">
        <v>28</v>
      </c>
      <c r="J81">
        <f t="shared" si="3"/>
        <v>39</v>
      </c>
      <c r="K81" t="str">
        <f t="shared" si="4"/>
        <v>September</v>
      </c>
      <c r="L81" t="str">
        <f t="shared" si="5"/>
        <v>Negative</v>
      </c>
    </row>
    <row r="82" spans="1:12" x14ac:dyDescent="0.3">
      <c r="A82" s="1">
        <v>45930</v>
      </c>
      <c r="B82" t="s">
        <v>110</v>
      </c>
      <c r="C82" t="s">
        <v>20</v>
      </c>
      <c r="D82">
        <v>2</v>
      </c>
      <c r="E82">
        <v>3</v>
      </c>
      <c r="F82">
        <v>5</v>
      </c>
      <c r="G82">
        <v>4</v>
      </c>
      <c r="H82">
        <v>3.4</v>
      </c>
      <c r="I82" t="s">
        <v>16</v>
      </c>
      <c r="J82">
        <f t="shared" si="3"/>
        <v>40</v>
      </c>
      <c r="K82" t="str">
        <f t="shared" si="4"/>
        <v>September</v>
      </c>
      <c r="L82" t="str">
        <f t="shared" si="5"/>
        <v>Negative</v>
      </c>
    </row>
    <row r="83" spans="1:12" x14ac:dyDescent="0.3">
      <c r="A83" s="1">
        <v>45926</v>
      </c>
      <c r="B83" t="s">
        <v>111</v>
      </c>
      <c r="C83" t="s">
        <v>18</v>
      </c>
      <c r="D83">
        <v>2</v>
      </c>
      <c r="E83">
        <v>2</v>
      </c>
      <c r="F83">
        <v>5</v>
      </c>
      <c r="G83">
        <v>5</v>
      </c>
      <c r="H83">
        <v>3.4</v>
      </c>
      <c r="I83" t="s">
        <v>51</v>
      </c>
      <c r="J83">
        <f t="shared" si="3"/>
        <v>39</v>
      </c>
      <c r="K83" t="str">
        <f t="shared" si="4"/>
        <v>September</v>
      </c>
      <c r="L83" t="str">
        <f t="shared" si="5"/>
        <v>Negative</v>
      </c>
    </row>
    <row r="84" spans="1:12" x14ac:dyDescent="0.3">
      <c r="A84" s="1">
        <v>45902</v>
      </c>
      <c r="B84" t="s">
        <v>112</v>
      </c>
      <c r="C84" t="s">
        <v>20</v>
      </c>
      <c r="D84">
        <v>2</v>
      </c>
      <c r="E84">
        <v>1</v>
      </c>
      <c r="F84">
        <v>2</v>
      </c>
      <c r="G84">
        <v>4</v>
      </c>
      <c r="H84">
        <v>2.2000000000000002</v>
      </c>
      <c r="I84" t="s">
        <v>39</v>
      </c>
      <c r="J84">
        <f t="shared" si="3"/>
        <v>36</v>
      </c>
      <c r="K84" t="str">
        <f t="shared" si="4"/>
        <v>September</v>
      </c>
      <c r="L84" t="str">
        <f t="shared" si="5"/>
        <v>Negative</v>
      </c>
    </row>
    <row r="85" spans="1:12" x14ac:dyDescent="0.3">
      <c r="A85" s="1">
        <v>45918</v>
      </c>
      <c r="B85" t="s">
        <v>113</v>
      </c>
      <c r="C85" t="s">
        <v>20</v>
      </c>
      <c r="D85">
        <v>5</v>
      </c>
      <c r="E85">
        <v>3</v>
      </c>
      <c r="F85">
        <v>4</v>
      </c>
      <c r="G85">
        <v>4</v>
      </c>
      <c r="H85">
        <v>3.7</v>
      </c>
      <c r="I85" t="s">
        <v>49</v>
      </c>
      <c r="J85">
        <f t="shared" si="3"/>
        <v>38</v>
      </c>
      <c r="K85" t="str">
        <f t="shared" si="4"/>
        <v>September</v>
      </c>
      <c r="L85" t="str">
        <f t="shared" si="5"/>
        <v>Negative</v>
      </c>
    </row>
    <row r="86" spans="1:12" x14ac:dyDescent="0.3">
      <c r="A86" s="1">
        <v>45908</v>
      </c>
      <c r="B86" t="s">
        <v>114</v>
      </c>
      <c r="C86" t="s">
        <v>18</v>
      </c>
      <c r="D86">
        <v>5</v>
      </c>
      <c r="E86">
        <v>3</v>
      </c>
      <c r="F86">
        <v>3</v>
      </c>
      <c r="G86">
        <v>3</v>
      </c>
      <c r="H86">
        <v>4</v>
      </c>
      <c r="I86" t="s">
        <v>36</v>
      </c>
      <c r="J86">
        <f t="shared" si="3"/>
        <v>37</v>
      </c>
      <c r="K86" t="str">
        <f t="shared" si="4"/>
        <v>September</v>
      </c>
      <c r="L86" t="str">
        <f t="shared" si="5"/>
        <v>Positive</v>
      </c>
    </row>
    <row r="87" spans="1:12" x14ac:dyDescent="0.3">
      <c r="A87" s="1">
        <v>45928</v>
      </c>
      <c r="B87" t="s">
        <v>115</v>
      </c>
      <c r="C87" t="s">
        <v>13</v>
      </c>
      <c r="D87">
        <v>4</v>
      </c>
      <c r="E87">
        <v>3</v>
      </c>
      <c r="F87">
        <v>3</v>
      </c>
      <c r="G87">
        <v>4</v>
      </c>
      <c r="H87">
        <v>3.6</v>
      </c>
      <c r="I87" t="s">
        <v>56</v>
      </c>
      <c r="J87">
        <f t="shared" si="3"/>
        <v>40</v>
      </c>
      <c r="K87" t="str">
        <f t="shared" si="4"/>
        <v>September</v>
      </c>
      <c r="L87" t="str">
        <f t="shared" si="5"/>
        <v>Negative</v>
      </c>
    </row>
    <row r="88" spans="1:12" x14ac:dyDescent="0.3">
      <c r="A88" s="1">
        <v>45918</v>
      </c>
      <c r="B88" t="s">
        <v>116</v>
      </c>
      <c r="C88" t="s">
        <v>13</v>
      </c>
      <c r="D88">
        <v>3</v>
      </c>
      <c r="E88">
        <v>1</v>
      </c>
      <c r="F88">
        <v>4</v>
      </c>
      <c r="G88">
        <v>5</v>
      </c>
      <c r="H88">
        <v>3</v>
      </c>
      <c r="I88" t="s">
        <v>23</v>
      </c>
      <c r="J88">
        <f t="shared" si="3"/>
        <v>38</v>
      </c>
      <c r="K88" t="str">
        <f t="shared" si="4"/>
        <v>September</v>
      </c>
      <c r="L88" t="str">
        <f t="shared" si="5"/>
        <v>Neutral</v>
      </c>
    </row>
    <row r="89" spans="1:12" x14ac:dyDescent="0.3">
      <c r="A89" s="1">
        <v>45912</v>
      </c>
      <c r="B89" t="s">
        <v>117</v>
      </c>
      <c r="C89" t="s">
        <v>13</v>
      </c>
      <c r="D89">
        <v>1</v>
      </c>
      <c r="E89">
        <v>2</v>
      </c>
      <c r="F89">
        <v>2</v>
      </c>
      <c r="G89">
        <v>3</v>
      </c>
      <c r="H89">
        <v>1.9</v>
      </c>
      <c r="I89" t="s">
        <v>33</v>
      </c>
      <c r="J89">
        <f t="shared" si="3"/>
        <v>37</v>
      </c>
      <c r="K89" t="str">
        <f t="shared" si="4"/>
        <v>September</v>
      </c>
      <c r="L89" t="str">
        <f t="shared" si="5"/>
        <v>Negative</v>
      </c>
    </row>
    <row r="90" spans="1:12" x14ac:dyDescent="0.3">
      <c r="A90" s="1">
        <v>45921</v>
      </c>
      <c r="B90" t="s">
        <v>118</v>
      </c>
      <c r="C90" t="s">
        <v>18</v>
      </c>
      <c r="D90">
        <v>2</v>
      </c>
      <c r="E90">
        <v>1</v>
      </c>
      <c r="F90">
        <v>3</v>
      </c>
      <c r="G90">
        <v>4</v>
      </c>
      <c r="H90">
        <v>2.8</v>
      </c>
      <c r="I90" t="s">
        <v>25</v>
      </c>
      <c r="J90">
        <f t="shared" si="3"/>
        <v>39</v>
      </c>
      <c r="K90" t="str">
        <f t="shared" si="4"/>
        <v>September</v>
      </c>
      <c r="L90" t="str">
        <f t="shared" si="5"/>
        <v>Negative</v>
      </c>
    </row>
    <row r="91" spans="1:12" x14ac:dyDescent="0.3">
      <c r="A91" s="1">
        <v>45915</v>
      </c>
      <c r="B91" t="s">
        <v>119</v>
      </c>
      <c r="C91" t="s">
        <v>18</v>
      </c>
      <c r="D91">
        <v>5</v>
      </c>
      <c r="E91">
        <v>2</v>
      </c>
      <c r="F91">
        <v>2</v>
      </c>
      <c r="G91">
        <v>4</v>
      </c>
      <c r="H91">
        <v>2.8</v>
      </c>
      <c r="I91" t="s">
        <v>33</v>
      </c>
      <c r="J91">
        <f t="shared" si="3"/>
        <v>38</v>
      </c>
      <c r="K91" t="str">
        <f t="shared" si="4"/>
        <v>September</v>
      </c>
      <c r="L91" t="str">
        <f t="shared" si="5"/>
        <v>Negative</v>
      </c>
    </row>
    <row r="92" spans="1:12" x14ac:dyDescent="0.3">
      <c r="A92" s="1">
        <v>45914</v>
      </c>
      <c r="B92" t="s">
        <v>120</v>
      </c>
      <c r="C92" t="s">
        <v>20</v>
      </c>
      <c r="D92">
        <v>4</v>
      </c>
      <c r="E92">
        <v>4</v>
      </c>
      <c r="F92">
        <v>5</v>
      </c>
      <c r="G92">
        <v>1</v>
      </c>
      <c r="H92">
        <v>3</v>
      </c>
      <c r="I92" t="s">
        <v>16</v>
      </c>
      <c r="J92">
        <f t="shared" si="3"/>
        <v>38</v>
      </c>
      <c r="K92" t="str">
        <f t="shared" si="4"/>
        <v>September</v>
      </c>
      <c r="L92" t="str">
        <f t="shared" si="5"/>
        <v>Neutral</v>
      </c>
    </row>
    <row r="93" spans="1:12" x14ac:dyDescent="0.3">
      <c r="A93" s="1">
        <v>45907</v>
      </c>
      <c r="B93" t="s">
        <v>121</v>
      </c>
      <c r="C93" t="s">
        <v>20</v>
      </c>
      <c r="D93">
        <v>1</v>
      </c>
      <c r="E93">
        <v>3</v>
      </c>
      <c r="F93">
        <v>3</v>
      </c>
      <c r="G93">
        <v>5</v>
      </c>
      <c r="H93">
        <v>3.3</v>
      </c>
      <c r="I93" t="s">
        <v>28</v>
      </c>
      <c r="J93">
        <f t="shared" si="3"/>
        <v>37</v>
      </c>
      <c r="K93" t="str">
        <f t="shared" si="4"/>
        <v>September</v>
      </c>
      <c r="L93" t="str">
        <f t="shared" si="5"/>
        <v>Negative</v>
      </c>
    </row>
    <row r="94" spans="1:12" x14ac:dyDescent="0.3">
      <c r="A94" s="1">
        <v>45911</v>
      </c>
      <c r="B94" t="s">
        <v>122</v>
      </c>
      <c r="C94" t="s">
        <v>20</v>
      </c>
      <c r="D94">
        <v>1</v>
      </c>
      <c r="E94">
        <v>3</v>
      </c>
      <c r="F94">
        <v>3</v>
      </c>
      <c r="G94">
        <v>2</v>
      </c>
      <c r="H94">
        <v>2.6</v>
      </c>
      <c r="I94" t="s">
        <v>80</v>
      </c>
      <c r="J94">
        <f t="shared" si="3"/>
        <v>37</v>
      </c>
      <c r="K94" t="str">
        <f t="shared" si="4"/>
        <v>September</v>
      </c>
      <c r="L94" t="str">
        <f t="shared" si="5"/>
        <v>Negative</v>
      </c>
    </row>
    <row r="95" spans="1:12" x14ac:dyDescent="0.3">
      <c r="A95" s="1">
        <v>45909</v>
      </c>
      <c r="B95" t="s">
        <v>123</v>
      </c>
      <c r="C95" t="s">
        <v>18</v>
      </c>
      <c r="D95">
        <v>2</v>
      </c>
      <c r="E95">
        <v>2</v>
      </c>
      <c r="F95">
        <v>2</v>
      </c>
      <c r="G95">
        <v>1</v>
      </c>
      <c r="H95">
        <v>1.9</v>
      </c>
      <c r="I95" t="s">
        <v>23</v>
      </c>
      <c r="J95">
        <f t="shared" si="3"/>
        <v>37</v>
      </c>
      <c r="K95" t="str">
        <f t="shared" si="4"/>
        <v>September</v>
      </c>
      <c r="L95" t="str">
        <f t="shared" si="5"/>
        <v>Negative</v>
      </c>
    </row>
    <row r="96" spans="1:12" x14ac:dyDescent="0.3">
      <c r="A96" s="1">
        <v>45928</v>
      </c>
      <c r="B96" t="s">
        <v>124</v>
      </c>
      <c r="C96" t="s">
        <v>20</v>
      </c>
      <c r="D96">
        <v>3</v>
      </c>
      <c r="E96">
        <v>1</v>
      </c>
      <c r="F96">
        <v>4</v>
      </c>
      <c r="G96">
        <v>5</v>
      </c>
      <c r="H96">
        <v>3</v>
      </c>
      <c r="I96" t="s">
        <v>21</v>
      </c>
      <c r="J96">
        <f t="shared" si="3"/>
        <v>40</v>
      </c>
      <c r="K96" t="str">
        <f t="shared" si="4"/>
        <v>September</v>
      </c>
      <c r="L96" t="str">
        <f t="shared" si="5"/>
        <v>Neutral</v>
      </c>
    </row>
    <row r="97" spans="1:12" x14ac:dyDescent="0.3">
      <c r="A97" s="1">
        <v>45929</v>
      </c>
      <c r="B97" t="s">
        <v>125</v>
      </c>
      <c r="C97" t="s">
        <v>18</v>
      </c>
      <c r="D97">
        <v>2</v>
      </c>
      <c r="E97">
        <v>3</v>
      </c>
      <c r="F97">
        <v>1</v>
      </c>
      <c r="G97">
        <v>4</v>
      </c>
      <c r="H97">
        <v>2.7</v>
      </c>
      <c r="I97" t="s">
        <v>36</v>
      </c>
      <c r="J97">
        <f t="shared" si="3"/>
        <v>40</v>
      </c>
      <c r="K97" t="str">
        <f t="shared" si="4"/>
        <v>September</v>
      </c>
      <c r="L97" t="str">
        <f t="shared" si="5"/>
        <v>Negative</v>
      </c>
    </row>
    <row r="98" spans="1:12" x14ac:dyDescent="0.3">
      <c r="A98" s="1">
        <v>45915</v>
      </c>
      <c r="B98" t="s">
        <v>126</v>
      </c>
      <c r="C98" t="s">
        <v>20</v>
      </c>
      <c r="D98">
        <v>4</v>
      </c>
      <c r="E98">
        <v>1</v>
      </c>
      <c r="F98">
        <v>4</v>
      </c>
      <c r="G98">
        <v>5</v>
      </c>
      <c r="H98">
        <v>3.4</v>
      </c>
      <c r="I98" t="s">
        <v>56</v>
      </c>
      <c r="J98">
        <f t="shared" si="3"/>
        <v>38</v>
      </c>
      <c r="K98" t="str">
        <f t="shared" si="4"/>
        <v>September</v>
      </c>
      <c r="L98" t="str">
        <f t="shared" si="5"/>
        <v>Negative</v>
      </c>
    </row>
    <row r="99" spans="1:12" x14ac:dyDescent="0.3">
      <c r="A99" s="1">
        <v>45905</v>
      </c>
      <c r="B99" t="s">
        <v>127</v>
      </c>
      <c r="C99" t="s">
        <v>13</v>
      </c>
      <c r="D99">
        <v>2</v>
      </c>
      <c r="E99">
        <v>2</v>
      </c>
      <c r="F99">
        <v>2</v>
      </c>
      <c r="G99">
        <v>1</v>
      </c>
      <c r="H99">
        <v>2.2000000000000002</v>
      </c>
      <c r="I99" t="s">
        <v>33</v>
      </c>
      <c r="J99">
        <f t="shared" si="3"/>
        <v>36</v>
      </c>
      <c r="K99" t="str">
        <f t="shared" si="4"/>
        <v>September</v>
      </c>
      <c r="L99" t="str">
        <f t="shared" si="5"/>
        <v>Negative</v>
      </c>
    </row>
    <row r="100" spans="1:12" x14ac:dyDescent="0.3">
      <c r="A100" s="1">
        <v>45911</v>
      </c>
      <c r="B100" t="s">
        <v>128</v>
      </c>
      <c r="C100" t="s">
        <v>20</v>
      </c>
      <c r="D100">
        <v>4</v>
      </c>
      <c r="E100">
        <v>3</v>
      </c>
      <c r="F100">
        <v>3</v>
      </c>
      <c r="G100">
        <v>4</v>
      </c>
      <c r="H100">
        <v>3.8</v>
      </c>
      <c r="I100" t="s">
        <v>56</v>
      </c>
      <c r="J100">
        <f t="shared" si="3"/>
        <v>37</v>
      </c>
      <c r="K100" t="str">
        <f t="shared" si="4"/>
        <v>September</v>
      </c>
      <c r="L100" t="str">
        <f t="shared" si="5"/>
        <v>Negative</v>
      </c>
    </row>
    <row r="101" spans="1:12" x14ac:dyDescent="0.3">
      <c r="A101" s="1">
        <v>45912</v>
      </c>
      <c r="B101" t="s">
        <v>129</v>
      </c>
      <c r="C101" t="s">
        <v>20</v>
      </c>
      <c r="D101">
        <v>2</v>
      </c>
      <c r="E101">
        <v>1</v>
      </c>
      <c r="F101">
        <v>5</v>
      </c>
      <c r="G101">
        <v>2</v>
      </c>
      <c r="H101">
        <v>2.2000000000000002</v>
      </c>
      <c r="I101" t="s">
        <v>25</v>
      </c>
      <c r="J101">
        <f t="shared" si="3"/>
        <v>37</v>
      </c>
      <c r="K101" t="str">
        <f t="shared" si="4"/>
        <v>September</v>
      </c>
      <c r="L101" t="str">
        <f t="shared" si="5"/>
        <v>Negative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Rathod</dc:creator>
  <cp:lastModifiedBy>Akshay Rathod</cp:lastModifiedBy>
  <dcterms:created xsi:type="dcterms:W3CDTF">2025-12-01T15:03:14Z</dcterms:created>
  <dcterms:modified xsi:type="dcterms:W3CDTF">2025-12-02T17:02:05Z</dcterms:modified>
</cp:coreProperties>
</file>